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s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ignals" sheetId="3" state="visible" r:id="rId3"/>
    <sheet xmlns:r="http://schemas.openxmlformats.org/officeDocument/2006/relationships" name="Alpaca fil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;($#,##0.00);-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6" fillId="0" borderId="0" pivotButton="0" quotePrefix="0" xfId="0"/>
    <xf numFmtId="9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0" customWidth="1" min="4" max="4"/>
    <col width="12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Paper Bot Live: accounts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Rebuilt by the bot after every session from journal.csv. Totals are formulas over the Journal tab.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Account ($)</t>
        </is>
      </c>
      <c r="B4" s="4" t="inlineStr">
        <is>
          <t>Trades</t>
        </is>
      </c>
      <c r="C4" s="4" t="inlineStr">
        <is>
          <t>Wins</t>
        </is>
      </c>
      <c r="D4" s="4" t="inlineStr">
        <is>
          <t>Win rate</t>
        </is>
      </c>
      <c r="E4" s="4" t="inlineStr">
        <is>
          <t>P&amp;L ($)</t>
        </is>
      </c>
      <c r="F4" s="4" t="inlineStr">
        <is>
          <t>R total</t>
        </is>
      </c>
      <c r="G4" s="4" t="inlineStr">
        <is>
          <t>Avg R</t>
        </is>
      </c>
      <c r="H4" s="4" t="inlineStr">
        <is>
          <t>Value ($)</t>
        </is>
      </c>
    </row>
    <row r="5">
      <c r="A5" s="5" t="n">
        <v>200</v>
      </c>
      <c r="B5" s="2">
        <f>COUNTIF(Journal!$B:$B,A5)</f>
        <v/>
      </c>
      <c r="C5" s="2">
        <f>COUNTIFS(Journal!$B:$B,A5,Journal!$L:$L,"&gt;0")</f>
        <v/>
      </c>
      <c r="D5" s="6">
        <f>IFERROR(C5/B5,0)</f>
        <v/>
      </c>
      <c r="E5" s="7">
        <f>SUMIF(Journal!$B:$B,A5,Journal!$L:$L)</f>
        <v/>
      </c>
      <c r="F5" s="8">
        <f>SUMIF(Journal!$B:$B,A5,Journal!$M:$M)</f>
        <v/>
      </c>
      <c r="G5" s="8">
        <f>IFERROR(F5/B5,0)</f>
        <v/>
      </c>
      <c r="H5" s="9">
        <f>A5+E5</f>
        <v/>
      </c>
    </row>
    <row r="6">
      <c r="A6" s="5" t="n">
        <v>250</v>
      </c>
      <c r="B6" s="2">
        <f>COUNTIF(Journal!$B:$B,A6)</f>
        <v/>
      </c>
      <c r="C6" s="2">
        <f>COUNTIFS(Journal!$B:$B,A6,Journal!$L:$L,"&gt;0")</f>
        <v/>
      </c>
      <c r="D6" s="6">
        <f>IFERROR(C6/B6,0)</f>
        <v/>
      </c>
      <c r="E6" s="7">
        <f>SUMIF(Journal!$B:$B,A6,Journal!$L:$L)</f>
        <v/>
      </c>
      <c r="F6" s="8">
        <f>SUMIF(Journal!$B:$B,A6,Journal!$M:$M)</f>
        <v/>
      </c>
      <c r="G6" s="8">
        <f>IFERROR(F6/B6,0)</f>
        <v/>
      </c>
      <c r="H6" s="9">
        <f>A6+E6</f>
        <v/>
      </c>
    </row>
    <row r="7">
      <c r="A7" s="5" t="n">
        <v>350</v>
      </c>
      <c r="B7" s="2">
        <f>COUNTIF(Journal!$B:$B,A7)</f>
        <v/>
      </c>
      <c r="C7" s="2">
        <f>COUNTIFS(Journal!$B:$B,A7,Journal!$L:$L,"&gt;0")</f>
        <v/>
      </c>
      <c r="D7" s="6">
        <f>IFERROR(C7/B7,0)</f>
        <v/>
      </c>
      <c r="E7" s="7">
        <f>SUMIF(Journal!$B:$B,A7,Journal!$L:$L)</f>
        <v/>
      </c>
      <c r="F7" s="8">
        <f>SUMIF(Journal!$B:$B,A7,Journal!$M:$M)</f>
        <v/>
      </c>
      <c r="G7" s="8">
        <f>IFERROR(F7/B7,0)</f>
        <v/>
      </c>
      <c r="H7" s="9">
        <f>A7+E7</f>
        <v/>
      </c>
    </row>
    <row r="8">
      <c r="A8" s="5" t="n">
        <v>400</v>
      </c>
      <c r="B8" s="2">
        <f>COUNTIF(Journal!$B:$B,A8)</f>
        <v/>
      </c>
      <c r="C8" s="2">
        <f>COUNTIFS(Journal!$B:$B,A8,Journal!$L:$L,"&gt;0")</f>
        <v/>
      </c>
      <c r="D8" s="6">
        <f>IFERROR(C8/B8,0)</f>
        <v/>
      </c>
      <c r="E8" s="7">
        <f>SUMIF(Journal!$B:$B,A8,Journal!$L:$L)</f>
        <v/>
      </c>
      <c r="F8" s="8">
        <f>SUMIF(Journal!$B:$B,A8,Journal!$M:$M)</f>
        <v/>
      </c>
      <c r="G8" s="8">
        <f>IFERROR(F8/B8,0)</f>
        <v/>
      </c>
      <c r="H8" s="9">
        <f>A8+E8</f>
        <v/>
      </c>
    </row>
    <row r="9">
      <c r="A9" s="5" t="n">
        <v>550</v>
      </c>
      <c r="B9" s="2">
        <f>COUNTIF(Journal!$B:$B,A9)</f>
        <v/>
      </c>
      <c r="C9" s="2">
        <f>COUNTIFS(Journal!$B:$B,A9,Journal!$L:$L,"&gt;0")</f>
        <v/>
      </c>
      <c r="D9" s="6">
        <f>IFERROR(C9/B9,0)</f>
        <v/>
      </c>
      <c r="E9" s="7">
        <f>SUMIF(Journal!$B:$B,A9,Journal!$L:$L)</f>
        <v/>
      </c>
      <c r="F9" s="8">
        <f>SUMIF(Journal!$B:$B,A9,Journal!$M:$M)</f>
        <v/>
      </c>
      <c r="G9" s="8">
        <f>IFERROR(F9/B9,0)</f>
        <v/>
      </c>
      <c r="H9" s="9">
        <f>A9+E9</f>
        <v/>
      </c>
    </row>
    <row r="10">
      <c r="A10" s="5" t="n">
        <v>1000</v>
      </c>
      <c r="B10" s="2">
        <f>COUNTIF(Journal!$B:$B,A10)</f>
        <v/>
      </c>
      <c r="C10" s="2">
        <f>COUNTIFS(Journal!$B:$B,A10,Journal!$L:$L,"&gt;0")</f>
        <v/>
      </c>
      <c r="D10" s="6">
        <f>IFERROR(C10/B10,0)</f>
        <v/>
      </c>
      <c r="E10" s="7">
        <f>SUMIF(Journal!$B:$B,A10,Journal!$L:$L)</f>
        <v/>
      </c>
      <c r="F10" s="8">
        <f>SUMIF(Journal!$B:$B,A10,Journal!$M:$M)</f>
        <v/>
      </c>
      <c r="G10" s="8">
        <f>IFERROR(F10/B10,0)</f>
        <v/>
      </c>
      <c r="H10" s="9">
        <f>A10+E10</f>
        <v/>
      </c>
    </row>
    <row r="11">
      <c r="A11" s="10" t="inlineStr">
        <is>
          <t>Total</t>
        </is>
      </c>
      <c r="B11" s="10">
        <f>SUM(B5:B10)</f>
        <v/>
      </c>
      <c r="C11" s="10">
        <f>SUM(C5:C10)</f>
        <v/>
      </c>
      <c r="D11" s="11">
        <f>IFERROR(C11/B11,0)</f>
        <v/>
      </c>
      <c r="E11" s="12">
        <f>SUM(E5:E10)</f>
        <v/>
      </c>
      <c r="F11" s="13">
        <f>SUM(F5:F10)</f>
        <v/>
      </c>
      <c r="G11" s="13">
        <f>IFERROR(F11/B11,0)</f>
        <v/>
      </c>
      <c r="H11" s="14">
        <f>SUM(H5:H10)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Trading days</t>
        </is>
      </c>
      <c r="B13" s="2">
        <f>SUMPRODUCT(1/COUNTIF(Journal!A2:A5000,Journal!A2:A5000&amp;""))-1</f>
        <v/>
      </c>
      <c r="C13" s="2" t="n"/>
      <c r="D13" s="2" t="n"/>
      <c r="E13" s="2" t="n"/>
      <c r="F13" s="2" t="n"/>
      <c r="G13" s="2" t="n"/>
      <c r="H13" s="2" t="n"/>
    </row>
    <row r="14">
      <c r="A14" s="2" t="inlineStr">
        <is>
          <t>Average $/day</t>
        </is>
      </c>
      <c r="B14" s="9">
        <f>IFERROR(E11/B13,0)</f>
        <v/>
      </c>
      <c r="C14" s="2" t="n"/>
      <c r="D14" s="2" t="n"/>
      <c r="E14" s="2" t="n"/>
      <c r="F14" s="2" t="n"/>
      <c r="G14" s="2" t="n"/>
      <c r="H14" s="2" t="n"/>
    </row>
    <row r="15">
      <c r="A15" s="2" t="inlineStr">
        <is>
          <t>Goal $/day</t>
        </is>
      </c>
      <c r="B15" s="15" t="n">
        <v>20</v>
      </c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shares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half_at</t>
        </is>
      </c>
      <c r="I1" s="4" t="inlineStr">
        <is>
          <t>target</t>
        </is>
      </c>
      <c r="J1" s="4" t="inlineStr">
        <is>
          <t>exit</t>
        </is>
      </c>
      <c r="K1" s="4" t="inlineStr">
        <is>
          <t>exit_reason</t>
        </is>
      </c>
      <c r="L1" s="4" t="inlineStr">
        <is>
          <t>pnl</t>
        </is>
      </c>
      <c r="M1" s="4" t="inlineStr">
        <is>
          <t>R</t>
        </is>
      </c>
      <c r="N1" s="4" t="inlineStr">
        <is>
          <t>size</t>
        </is>
      </c>
      <c r="O1" s="4" t="inlineStr">
        <is>
          <t>p</t>
        </is>
      </c>
      <c r="P1" s="4" t="inlineStr">
        <is>
          <t>test</t>
        </is>
      </c>
      <c r="Q1" s="4" t="inlineStr">
        <is>
          <t>reason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24</v>
      </c>
      <c r="F2" s="2" t="n">
        <v>5.17</v>
      </c>
      <c r="G2" s="2" t="n">
        <v>5.09</v>
      </c>
      <c r="H2" s="2" t="n">
        <v>5.25</v>
      </c>
      <c r="I2" s="2" t="n">
        <v>5.33</v>
      </c>
      <c r="J2" s="2" t="n">
        <v>5.05</v>
      </c>
      <c r="K2" s="2" t="inlineStr">
        <is>
          <t>stop</t>
        </is>
      </c>
      <c r="L2" s="2" t="n">
        <v>-2.88</v>
      </c>
      <c r="M2" s="2" t="n">
        <v>-1.44</v>
      </c>
      <c r="N2" s="2" t="n">
        <v>1</v>
      </c>
      <c r="O2" s="2" t="n"/>
      <c r="P2" s="2" t="n">
        <v>1</v>
      </c>
      <c r="Q2" s="2" t="inlineStr">
        <is>
          <t>VWAP pullback: +7.3%, dipped to VWAP 5.10, reclaimed with green bar | news: [Google News] Borr Drilling (BORR) Wins New Rig Work As 2027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33</v>
      </c>
      <c r="F3" s="2" t="n">
        <v>7.57</v>
      </c>
      <c r="G3" s="2" t="n">
        <v>7.51</v>
      </c>
      <c r="H3" s="2" t="n">
        <v>7.63</v>
      </c>
      <c r="I3" s="2" t="n">
        <v>7.69</v>
      </c>
      <c r="J3" s="2" t="n">
        <v>7.69</v>
      </c>
      <c r="K3" s="2" t="inlineStr">
        <is>
          <t>target</t>
        </is>
      </c>
      <c r="L3" s="2" t="n">
        <v>3</v>
      </c>
      <c r="M3" s="2" t="n">
        <v>1.2</v>
      </c>
      <c r="N3" s="2" t="n">
        <v>1</v>
      </c>
      <c r="O3" s="2" t="n"/>
      <c r="P3" s="2" t="n">
        <v>1</v>
      </c>
      <c r="Q3" s="2" t="inlineStr">
        <is>
          <t>Failed breakdown: flushed to 7.52 under opening-range low 7.54, reclaimed it | news: [Benzinga] Why Is CCC Intelligent Solutions Stock Surging Mo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49</v>
      </c>
      <c r="F4" s="2" t="n">
        <v>5.17</v>
      </c>
      <c r="G4" s="2" t="n">
        <v>5.09</v>
      </c>
      <c r="H4" s="2" t="n">
        <v>5.25</v>
      </c>
      <c r="I4" s="2" t="n">
        <v>5.33</v>
      </c>
      <c r="J4" s="2" t="n">
        <v>5.05</v>
      </c>
      <c r="K4" s="2" t="inlineStr">
        <is>
          <t>stop</t>
        </is>
      </c>
      <c r="L4" s="2" t="n">
        <v>-5.88</v>
      </c>
      <c r="M4" s="2" t="n">
        <v>-1.47</v>
      </c>
      <c r="N4" s="2" t="n">
        <v>1</v>
      </c>
      <c r="O4" s="2" t="n"/>
      <c r="P4" s="2" t="n">
        <v>1</v>
      </c>
      <c r="Q4" s="2" t="inlineStr">
        <is>
          <t>VWAP pullback: +7.3%, dipped to VWAP 5.10, reclaimed with green bar | news: [Google News] Borr Drilling (BORR) Wins New Rig Work As 2027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72</v>
      </c>
      <c r="F5" s="2" t="n">
        <v>7.57</v>
      </c>
      <c r="G5" s="2" t="n">
        <v>7.51</v>
      </c>
      <c r="H5" s="2" t="n">
        <v>7.63</v>
      </c>
      <c r="I5" s="2" t="n">
        <v>7.69</v>
      </c>
      <c r="J5" s="2" t="n">
        <v>7.69</v>
      </c>
      <c r="K5" s="2" t="inlineStr">
        <is>
          <t>target</t>
        </is>
      </c>
      <c r="L5" s="2" t="n">
        <v>6.48</v>
      </c>
      <c r="M5" s="2" t="n">
        <v>1.18</v>
      </c>
      <c r="N5" s="2" t="n">
        <v>1</v>
      </c>
      <c r="O5" s="2" t="n"/>
      <c r="P5" s="2" t="n">
        <v>1</v>
      </c>
      <c r="Q5" s="2" t="inlineStr">
        <is>
          <t>Failed breakdown: flushed to 7.52 under opening-range low 7.54, reclaimed it | news: [Benzinga] Why Is CCC Intelligent Solutions Stock Surging Mo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29</v>
      </c>
      <c r="F6" s="2" t="n">
        <v>8.109999999999999</v>
      </c>
      <c r="G6" s="2" t="n">
        <v>7.99</v>
      </c>
      <c r="H6" s="2" t="n">
        <v>8.23</v>
      </c>
      <c r="I6" s="2" t="n">
        <v>8.35</v>
      </c>
      <c r="J6" s="2" t="n">
        <v>7.95</v>
      </c>
      <c r="K6" s="2" t="inlineStr">
        <is>
          <t>stop</t>
        </is>
      </c>
      <c r="L6" s="2" t="n">
        <v>-4.64</v>
      </c>
      <c r="M6" s="2" t="n">
        <v>-1.33</v>
      </c>
      <c r="N6" s="2" t="n">
        <v>1</v>
      </c>
      <c r="O6" s="2" t="n"/>
      <c r="P6" s="2" t="n">
        <v>1</v>
      </c>
      <c r="Q6" s="2" t="inlineStr">
        <is>
          <t>Bull flag: 3.7% pole, 0.9% flag on light vol, broke 8.07 | news: [Google News] Is Alignment Healthcare (ALHC) Cheap Following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29</v>
      </c>
      <c r="F7" s="2" t="n">
        <v>6.78</v>
      </c>
      <c r="G7" s="2" t="n">
        <v>6.73</v>
      </c>
      <c r="H7" s="2" t="n">
        <v>6.83</v>
      </c>
      <c r="I7" s="2" t="n">
        <v>6.88</v>
      </c>
      <c r="J7" s="2" t="n">
        <v>6.8</v>
      </c>
      <c r="K7" s="2" t="inlineStr">
        <is>
          <t>next open</t>
        </is>
      </c>
      <c r="L7" s="2" t="n">
        <v>0.58</v>
      </c>
      <c r="M7" s="2" t="n">
        <v>0.29</v>
      </c>
      <c r="N7" s="2" t="n">
        <v>1</v>
      </c>
      <c r="O7" s="2" t="n"/>
      <c r="P7" s="2" t="n">
        <v>1</v>
      </c>
      <c r="Q7" s="2" t="inlineStr">
        <is>
          <t xml:space="preserve">EOD squeeze: +6.5%, within 1% of HOD 6.80, hold to next open | news: [Newswire] SCIENTURE Reports Approximately $1.22 Million in 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51</v>
      </c>
      <c r="F8" s="2" t="n">
        <v>6.78</v>
      </c>
      <c r="G8" s="2" t="n">
        <v>6.73</v>
      </c>
      <c r="H8" s="2" t="n">
        <v>6.83</v>
      </c>
      <c r="I8" s="2" t="n">
        <v>6.88</v>
      </c>
      <c r="J8" s="2" t="n">
        <v>6.8</v>
      </c>
      <c r="K8" s="2" t="inlineStr">
        <is>
          <t>next open</t>
        </is>
      </c>
      <c r="L8" s="2" t="n">
        <v>1.02</v>
      </c>
      <c r="M8" s="2" t="n">
        <v>0.29</v>
      </c>
      <c r="N8" s="2" t="n">
        <v>1</v>
      </c>
      <c r="O8" s="2" t="n"/>
      <c r="P8" s="2" t="n">
        <v>1</v>
      </c>
      <c r="Q8" s="2" t="inlineStr">
        <is>
          <t xml:space="preserve">EOD squeeze: +6.5%, within 1% of HOD 6.80, hold to next open | news: [Newswire] SCIENTURE Reports Approximately $1.22 Million in 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22</v>
      </c>
      <c r="F9" s="2" t="n">
        <v>10.34</v>
      </c>
      <c r="G9" s="2" t="n">
        <v>10.23</v>
      </c>
      <c r="H9" s="2" t="n">
        <v>10.45</v>
      </c>
      <c r="I9" s="2" t="n">
        <v>10.56</v>
      </c>
      <c r="J9" s="2" t="n">
        <v>10.32</v>
      </c>
      <c r="K9" s="2" t="inlineStr">
        <is>
          <t>breakeven</t>
        </is>
      </c>
      <c r="L9" s="2" t="n">
        <v>0.99</v>
      </c>
      <c r="M9" s="2" t="n">
        <v>0.4</v>
      </c>
      <c r="N9" s="2" t="n">
        <v>1</v>
      </c>
      <c r="O9" s="2" t="n"/>
      <c r="P9" s="2" t="n">
        <v>1</v>
      </c>
      <c r="Q9" s="2" t="inlineStr">
        <is>
          <t>9/21 EMA bounce: tagged 21 EMA 10.29, closed back over 9 EMA | news: [Benzinga] FDA Approves ImmunityBio's Anktiva To Treat Adult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28</v>
      </c>
      <c r="F10" s="2" t="n">
        <v>10.42</v>
      </c>
      <c r="G10" s="2" t="n">
        <v>10.23</v>
      </c>
      <c r="H10" s="2" t="n">
        <v>10.61</v>
      </c>
      <c r="I10" s="2" t="n">
        <v>10.8</v>
      </c>
      <c r="J10" s="2" t="n">
        <v>10.21</v>
      </c>
      <c r="K10" s="2" t="inlineStr">
        <is>
          <t>stop</t>
        </is>
      </c>
      <c r="L10" s="2" t="n">
        <v>-5.88</v>
      </c>
      <c r="M10" s="2" t="n">
        <v>-1.07</v>
      </c>
      <c r="N10" s="2" t="n">
        <v>1</v>
      </c>
      <c r="O10" s="2" t="n"/>
      <c r="P10" s="2" t="n">
        <v>1</v>
      </c>
      <c r="Q10" s="2" t="inlineStr">
        <is>
          <t>Bull flag: 3.0% pole, 1.2% flag on light vol, broke 10.36 | news: [Benzinga] FDA Approves ImmunityBio's Anktiva To Treat Adult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79</v>
      </c>
      <c r="F11" s="2" t="n">
        <v>1.29</v>
      </c>
      <c r="G11" s="2" t="n">
        <v>1.24</v>
      </c>
      <c r="H11" s="2" t="n">
        <v>1.34</v>
      </c>
      <c r="I11" s="2" t="n">
        <v>1.39</v>
      </c>
      <c r="J11" s="2" t="n">
        <v>1.22</v>
      </c>
      <c r="K11" s="2" t="inlineStr">
        <is>
          <t>stop</t>
        </is>
      </c>
      <c r="L11" s="2" t="n">
        <v>-5.53</v>
      </c>
      <c r="M11" s="2" t="n">
        <v>-1.38</v>
      </c>
      <c r="N11" s="2" t="n">
        <v>1</v>
      </c>
      <c r="O11" s="2" t="n"/>
      <c r="P11" s="2" t="n">
        <v>1</v>
      </c>
      <c r="Q11" s="2" t="inlineStr">
        <is>
          <t>VWAP pullback: +31.7%, dipped to VWAP 1.26, reclaimed with green bar | news: [Benzinga] MaxCyte Reports Preliminary Q3 Core Revenue Of ~$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15</v>
      </c>
      <c r="F12" s="2" t="n">
        <v>10.77</v>
      </c>
      <c r="G12" s="2" t="n">
        <v>10.61</v>
      </c>
      <c r="H12" s="2" t="n">
        <v>10.93</v>
      </c>
      <c r="I12" s="2" t="n">
        <v>11.09</v>
      </c>
      <c r="J12" s="2" t="n">
        <v>10.59</v>
      </c>
      <c r="K12" s="2" t="inlineStr">
        <is>
          <t>stop</t>
        </is>
      </c>
      <c r="L12" s="2" t="n">
        <v>-2.7</v>
      </c>
      <c r="M12" s="2" t="n">
        <v>-1.08</v>
      </c>
      <c r="N12" s="2" t="n">
        <v>1</v>
      </c>
      <c r="O12" s="2" t="n"/>
      <c r="P12" s="2" t="n">
        <v>1</v>
      </c>
      <c r="Q12" s="2" t="inlineStr">
        <is>
          <t>9/21 EMA bounce: tagged 21 EMA 10.68, closed back over 9 EMA | news: [Newswire] Fengate Private Equity Acquires Majority Stake in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24</v>
      </c>
      <c r="F13" s="2" t="n">
        <v>10.77</v>
      </c>
      <c r="G13" s="2" t="n">
        <v>10.61</v>
      </c>
      <c r="H13" s="2" t="n">
        <v>10.93</v>
      </c>
      <c r="I13" s="2" t="n">
        <v>11.09</v>
      </c>
      <c r="J13" s="2" t="n">
        <v>10.59</v>
      </c>
      <c r="K13" s="2" t="inlineStr">
        <is>
          <t>stop</t>
        </is>
      </c>
      <c r="L13" s="2" t="n">
        <v>-4.32</v>
      </c>
      <c r="M13" s="2" t="n">
        <v>-1.08</v>
      </c>
      <c r="N13" s="2" t="n">
        <v>1</v>
      </c>
      <c r="O13" s="2" t="n"/>
      <c r="P13" s="2" t="n">
        <v>1</v>
      </c>
      <c r="Q13" s="2" t="inlineStr">
        <is>
          <t>9/21 EMA bounce: tagged 21 EMA 10.68, closed back over 9 EMA | news: [Newswire] Fengate Private Equity Acquires Majority Stake in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16</v>
      </c>
      <c r="F14" s="2" t="n">
        <v>10.6</v>
      </c>
      <c r="G14" s="2" t="n">
        <v>10.39</v>
      </c>
      <c r="H14" s="2" t="n">
        <v>10.81</v>
      </c>
      <c r="I14" s="2" t="n">
        <v>11.02</v>
      </c>
      <c r="J14" s="2" t="n">
        <v>10.33</v>
      </c>
      <c r="K14" s="2" t="inlineStr">
        <is>
          <t>stop</t>
        </is>
      </c>
      <c r="L14" s="2" t="n">
        <v>-4.32</v>
      </c>
      <c r="M14" s="2" t="n">
        <v>-1.23</v>
      </c>
      <c r="N14" s="2" t="n">
        <v>1</v>
      </c>
      <c r="O14" s="2" t="n"/>
      <c r="P14" s="2" t="n">
        <v>1</v>
      </c>
      <c r="Q14" s="2" t="inlineStr">
        <is>
          <t>Bull flag: 4.5% pole, 1.3% flag on light vol, broke 10.53 | news: [Newswire] Fengate Private Equity Acquires Majority Stake in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26</v>
      </c>
      <c r="F15" s="2" t="n">
        <v>10.6</v>
      </c>
      <c r="G15" s="2" t="n">
        <v>10.39</v>
      </c>
      <c r="H15" s="2" t="n">
        <v>10.81</v>
      </c>
      <c r="I15" s="2" t="n">
        <v>11.02</v>
      </c>
      <c r="J15" s="2" t="n">
        <v>10.33</v>
      </c>
      <c r="K15" s="2" t="inlineStr">
        <is>
          <t>stop</t>
        </is>
      </c>
      <c r="L15" s="2" t="n">
        <v>-7.02</v>
      </c>
      <c r="M15" s="2" t="n">
        <v>-1.28</v>
      </c>
      <c r="N15" s="2" t="n">
        <v>1</v>
      </c>
      <c r="O15" s="2" t="n"/>
      <c r="P15" s="2" t="n">
        <v>1</v>
      </c>
      <c r="Q15" s="2" t="inlineStr">
        <is>
          <t>Bull flag: 4.5% pole, 1.3% flag on light vol, broke 10.53 | news: [Newswire] Fengate Private Equity Acquires Majority Stake in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8</v>
      </c>
      <c r="F16" s="2" t="n">
        <v>10.2</v>
      </c>
      <c r="G16" s="2" t="n">
        <v>9.960000000000001</v>
      </c>
      <c r="H16" s="2" t="n">
        <v>10.44</v>
      </c>
      <c r="I16" s="2" t="n">
        <v>10.68</v>
      </c>
      <c r="J16" s="2" t="n">
        <v>10.68</v>
      </c>
      <c r="K16" s="2" t="inlineStr">
        <is>
          <t>target</t>
        </is>
      </c>
      <c r="L16" s="2" t="n">
        <v>2.88</v>
      </c>
      <c r="M16" s="2" t="n">
        <v>1.44</v>
      </c>
      <c r="N16" s="2" t="n">
        <v>1</v>
      </c>
      <c r="O16" s="2" t="n"/>
      <c r="P16" s="2" t="n">
        <v>1</v>
      </c>
      <c r="Q16" s="2" t="inlineStr">
        <is>
          <t>VWAP pullback: +24.3%, dipped to VWAP 10.06, reclaimed with green bar | news: [Newswire] Fengate Private Equity Acquires Majority Stake in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ticker</t>
        </is>
      </c>
      <c r="D1" s="4" t="inlineStr">
        <is>
          <t>stop</t>
        </is>
      </c>
      <c r="E1" s="4" t="inlineStr">
        <is>
          <t>sig_bar</t>
        </is>
      </c>
      <c r="F1" s="4" t="inlineStr">
        <is>
          <t>p</t>
        </is>
      </c>
      <c r="G1" s="4" t="inlineStr">
        <is>
          <t>status</t>
        </is>
      </c>
      <c r="H1" s="4" t="inlineStr">
        <is>
          <t>R</t>
        </is>
      </c>
      <c r="I1" s="4" t="inlineStr">
        <is>
          <t>why</t>
        </is>
      </c>
      <c r="J1" s="4" t="inlineStr">
        <is>
          <t>strategy</t>
        </is>
      </c>
      <c r="K1" s="4" t="inlineStr">
        <is>
          <t>minute</t>
        </is>
      </c>
      <c r="L1" s="4" t="inlineStr">
        <is>
          <t>chg</t>
        </is>
      </c>
      <c r="M1" s="4" t="inlineStr">
        <is>
          <t>gap</t>
        </is>
      </c>
      <c r="N1" s="4" t="inlineStr">
        <is>
          <t>log_rvol</t>
        </is>
      </c>
      <c r="O1" s="4" t="inlineStr">
        <is>
          <t>vwap_dist</t>
        </is>
      </c>
      <c r="P1" s="4" t="inlineStr">
        <is>
          <t>risk_pct</t>
        </is>
      </c>
      <c r="Q1" s="4" t="inlineStr">
        <is>
          <t>hod_dist</t>
        </is>
      </c>
      <c r="R1" s="4" t="inlineStr">
        <is>
          <t>log_pm_rvol</t>
        </is>
      </c>
      <c r="S1" s="4" t="inlineStr">
        <is>
          <t>log_price</t>
        </is>
      </c>
      <c r="T1" s="4" t="inlineStr">
        <is>
          <t>spy_chg</t>
        </is>
      </c>
      <c r="U1" s="4" t="inlineStr">
        <is>
          <t>cat</t>
        </is>
      </c>
      <c r="V1" s="4" t="inlineStr">
        <is>
          <t>cat_earnings</t>
        </is>
      </c>
      <c r="W1" s="4" t="inlineStr">
        <is>
          <t>cat_fda</t>
        </is>
      </c>
      <c r="X1" s="4" t="inlineStr">
        <is>
          <t>cat_deal</t>
        </is>
      </c>
      <c r="Y1" s="4" t="inlineStr">
        <is>
          <t>cat_analyst</t>
        </is>
      </c>
      <c r="Z1" s="4" t="inlineStr">
        <is>
          <t>cat_mna</t>
        </is>
      </c>
      <c r="AA1" s="4" t="inlineStr">
        <is>
          <t>nofill_mkt</t>
        </is>
      </c>
      <c r="AB1" s="4" t="inlineStr">
        <is>
          <t>nofill_lim</t>
        </is>
      </c>
      <c r="AC1" s="4" t="inlineStr">
        <is>
          <t>Rg_mkt_h2</t>
        </is>
      </c>
      <c r="AD1" s="4" t="inlineStr">
        <is>
          <t>cu_mkt_h2</t>
        </is>
      </c>
      <c r="AE1" s="4" t="inlineStr">
        <is>
          <t>px_mkt_h2</t>
        </is>
      </c>
      <c r="AF1" s="4" t="inlineStr">
        <is>
          <t>rk_mkt_h2</t>
        </is>
      </c>
      <c r="AG1" s="4" t="inlineStr">
        <is>
          <t>Rg_mkt_r3</t>
        </is>
      </c>
      <c r="AH1" s="4" t="inlineStr">
        <is>
          <t>cu_mkt_r3</t>
        </is>
      </c>
      <c r="AI1" s="4" t="inlineStr">
        <is>
          <t>px_mkt_r3</t>
        </is>
      </c>
      <c r="AJ1" s="4" t="inlineStr">
        <is>
          <t>rk_mkt_r3</t>
        </is>
      </c>
      <c r="AK1" s="4" t="inlineStr">
        <is>
          <t>Rg_mkt_tr</t>
        </is>
      </c>
      <c r="AL1" s="4" t="inlineStr">
        <is>
          <t>cu_mkt_tr</t>
        </is>
      </c>
      <c r="AM1" s="4" t="inlineStr">
        <is>
          <t>px_mkt_tr</t>
        </is>
      </c>
      <c r="AN1" s="4" t="inlineStr">
        <is>
          <t>rk_mkt_tr</t>
        </is>
      </c>
      <c r="AO1" s="4" t="inlineStr">
        <is>
          <t>Rg_lim_h2</t>
        </is>
      </c>
      <c r="AP1" s="4" t="inlineStr">
        <is>
          <t>cu_lim_h2</t>
        </is>
      </c>
      <c r="AQ1" s="4" t="inlineStr">
        <is>
          <t>px_lim_h2</t>
        </is>
      </c>
      <c r="AR1" s="4" t="inlineStr">
        <is>
          <t>rk_lim_h2</t>
        </is>
      </c>
      <c r="AS1" s="4" t="inlineStr">
        <is>
          <t>Rg_lim_r3</t>
        </is>
      </c>
      <c r="AT1" s="4" t="inlineStr">
        <is>
          <t>cu_lim_r3</t>
        </is>
      </c>
      <c r="AU1" s="4" t="inlineStr">
        <is>
          <t>px_lim_r3</t>
        </is>
      </c>
      <c r="AV1" s="4" t="inlineStr">
        <is>
          <t>rk_lim_r3</t>
        </is>
      </c>
      <c r="AW1" s="4" t="inlineStr">
        <is>
          <t>Rg_lim_tr</t>
        </is>
      </c>
      <c r="AX1" s="4" t="inlineStr">
        <is>
          <t>cu_lim_tr</t>
        </is>
      </c>
      <c r="AY1" s="4" t="inlineStr">
        <is>
          <t>px_lim_tr</t>
        </is>
      </c>
      <c r="AZ1" s="4" t="inlineStr">
        <is>
          <t>rk_lim_tr</t>
        </is>
      </c>
      <c r="BA1" s="4" t="inlineStr">
        <is>
          <t>spread_pct</t>
        </is>
      </c>
    </row>
    <row r="2">
      <c r="A2" s="2" t="inlineStr">
        <is>
          <t>2026-10-12</t>
        </is>
      </c>
      <c r="B2" s="2" t="inlineStr">
        <is>
          <t>09:57</t>
        </is>
      </c>
      <c r="C2" s="2" t="inlineStr">
        <is>
          <t>CCC</t>
        </is>
      </c>
      <c r="D2" s="2" t="n">
        <v>7.51</v>
      </c>
      <c r="E2" s="2" t="inlineStr">
        <is>
          <t>2026-10-12 09:56:00-04:00</t>
        </is>
      </c>
      <c r="F2" s="2" t="n"/>
      <c r="G2" s="2" t="inlineStr">
        <is>
          <t>off</t>
        </is>
      </c>
      <c r="H2" s="2" t="n">
        <v>1.5</v>
      </c>
      <c r="I2" s="2" t="inlineStr">
        <is>
          <t>target</t>
        </is>
      </c>
      <c r="J2" s="2" t="inlineStr">
        <is>
          <t>failed_breakdown</t>
        </is>
      </c>
      <c r="K2" s="2" t="n">
        <v>27</v>
      </c>
      <c r="L2" s="2" t="n">
        <v>0.0776353387143478</v>
      </c>
      <c r="M2" s="2" t="n">
        <v>0.09401707253637349</v>
      </c>
      <c r="N2" s="2" t="n">
        <v>1.77707696390736</v>
      </c>
      <c r="O2" s="2" t="n">
        <v>-0.008612646824607899</v>
      </c>
      <c r="P2" s="2" t="n">
        <v>0.0072703313687306</v>
      </c>
      <c r="Q2" s="2" t="n">
        <v>-0.0226097828259268</v>
      </c>
      <c r="R2" s="2" t="n">
        <v>0</v>
      </c>
      <c r="S2" s="2" t="n">
        <v>2.023532354804161</v>
      </c>
      <c r="T2" s="2" t="n">
        <v>0.0001926138657994</v>
      </c>
      <c r="U2" s="2" t="n">
        <v>1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1.5</v>
      </c>
      <c r="AD2" s="2" t="n">
        <v>1</v>
      </c>
      <c r="AE2" s="2" t="n">
        <v>7.555</v>
      </c>
      <c r="AF2" s="2" t="n">
        <v>0.045</v>
      </c>
      <c r="AG2" s="2" t="n">
        <v>3</v>
      </c>
      <c r="AH2" s="2" t="n">
        <v>1</v>
      </c>
      <c r="AI2" s="2" t="n">
        <v>7.555</v>
      </c>
      <c r="AJ2" s="2" t="n">
        <v>0.045</v>
      </c>
      <c r="AK2" s="2" t="n">
        <v>1.8333</v>
      </c>
      <c r="AL2" s="2" t="n">
        <v>1.5</v>
      </c>
      <c r="AM2" s="2" t="n">
        <v>7.555</v>
      </c>
      <c r="AN2" s="2" t="n">
        <v>0.045</v>
      </c>
      <c r="AO2" s="2" t="n">
        <v>1.5</v>
      </c>
      <c r="AP2" s="2" t="n">
        <v>0</v>
      </c>
      <c r="AQ2" s="2" t="n">
        <v>7.555</v>
      </c>
      <c r="AR2" s="2" t="n">
        <v>0.045</v>
      </c>
      <c r="AS2" s="2" t="n">
        <v>3</v>
      </c>
      <c r="AT2" s="2" t="n">
        <v>0</v>
      </c>
      <c r="AU2" s="2" t="n">
        <v>7.555</v>
      </c>
      <c r="AV2" s="2" t="n">
        <v>0.045</v>
      </c>
      <c r="AW2" s="2" t="n">
        <v>1.8333</v>
      </c>
      <c r="AX2" s="2" t="n">
        <v>0.5</v>
      </c>
      <c r="AY2" s="2" t="n">
        <v>7.555</v>
      </c>
      <c r="AZ2" s="2" t="n">
        <v>0.045</v>
      </c>
      <c r="BA2" s="2" t="n">
        <v>0.00132</v>
      </c>
    </row>
    <row r="3">
      <c r="A3" s="2" t="inlineStr">
        <is>
          <t>2026-10-12</t>
        </is>
      </c>
      <c r="B3" s="2" t="inlineStr">
        <is>
          <t>10:03</t>
        </is>
      </c>
      <c r="C3" s="2" t="inlineStr">
        <is>
          <t>TRAX</t>
        </is>
      </c>
      <c r="D3" s="2" t="n">
        <v>35.54</v>
      </c>
      <c r="E3" s="2" t="inlineStr">
        <is>
          <t>2026-10-12 10:02:00-04:00</t>
        </is>
      </c>
      <c r="F3" s="2" t="n"/>
      <c r="G3" s="2" t="inlineStr">
        <is>
          <t>off</t>
        </is>
      </c>
      <c r="H3" s="2" t="n">
        <v>0.465</v>
      </c>
      <c r="I3" s="2" t="inlineStr">
        <is>
          <t>breakeven</t>
        </is>
      </c>
      <c r="J3" s="2" t="inlineStr">
        <is>
          <t>failed_breakdown</t>
        </is>
      </c>
      <c r="K3" s="2" t="n">
        <v>33</v>
      </c>
      <c r="L3" s="2" t="n">
        <v>0.1367347377527408</v>
      </c>
      <c r="M3" s="2" t="n">
        <v>0.243328037671243</v>
      </c>
      <c r="N3" s="2" t="n">
        <v>3.643971005230621</v>
      </c>
      <c r="O3" s="2" t="n">
        <v>-0.054086025832177</v>
      </c>
      <c r="P3" s="2" t="n">
        <v>0.0183676784262523</v>
      </c>
      <c r="Q3" s="2" t="n">
        <v>-0.1060493375048224</v>
      </c>
      <c r="R3" s="2" t="n">
        <v>0</v>
      </c>
      <c r="S3" s="2" t="n">
        <v>3.589197281415418</v>
      </c>
      <c r="T3" s="2" t="n">
        <v>-8.991782827516559e-05</v>
      </c>
      <c r="U3" s="2" t="n">
        <v>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0.5</v>
      </c>
      <c r="AD3" s="2" t="n">
        <v>1.5</v>
      </c>
      <c r="AE3" s="2" t="n">
        <v>36.205</v>
      </c>
      <c r="AF3" s="2" t="n">
        <v>0.665</v>
      </c>
      <c r="AG3" s="2" t="n">
        <v>-1</v>
      </c>
      <c r="AH3" s="2" t="n">
        <v>2</v>
      </c>
      <c r="AI3" s="2" t="n">
        <v>36.205</v>
      </c>
      <c r="AJ3" s="2" t="n">
        <v>0.665</v>
      </c>
      <c r="AK3" s="2" t="n">
        <v>0.5</v>
      </c>
      <c r="AL3" s="2" t="n">
        <v>1.5</v>
      </c>
      <c r="AM3" s="2" t="n">
        <v>36.205</v>
      </c>
      <c r="AN3" s="2" t="n">
        <v>0.665</v>
      </c>
      <c r="AO3" s="2" t="n">
        <v>0.5</v>
      </c>
      <c r="AP3" s="2" t="n">
        <v>0.5</v>
      </c>
      <c r="AQ3" s="2" t="n">
        <v>36.205</v>
      </c>
      <c r="AR3" s="2" t="n">
        <v>0.665</v>
      </c>
      <c r="AS3" s="2" t="n">
        <v>-1</v>
      </c>
      <c r="AT3" s="2" t="n">
        <v>1</v>
      </c>
      <c r="AU3" s="2" t="n">
        <v>36.205</v>
      </c>
      <c r="AV3" s="2" t="n">
        <v>0.665</v>
      </c>
      <c r="AW3" s="2" t="n">
        <v>0.5</v>
      </c>
      <c r="AX3" s="2" t="n">
        <v>0.5</v>
      </c>
      <c r="AY3" s="2" t="n">
        <v>36.205</v>
      </c>
      <c r="AZ3" s="2" t="n">
        <v>0.665</v>
      </c>
      <c r="BA3" s="2" t="n">
        <v>0.01184</v>
      </c>
    </row>
    <row r="4">
      <c r="A4" s="2" t="inlineStr">
        <is>
          <t>2026-10-12</t>
        </is>
      </c>
      <c r="B4" s="2" t="inlineStr">
        <is>
          <t>10:06</t>
        </is>
      </c>
      <c r="C4" s="2" t="inlineStr">
        <is>
          <t>ALHC</t>
        </is>
      </c>
      <c r="D4" s="2" t="n">
        <v>7.99</v>
      </c>
      <c r="E4" s="2" t="inlineStr">
        <is>
          <t>2026-10-12 10:05:00-04:00</t>
        </is>
      </c>
      <c r="F4" s="2" t="n"/>
      <c r="G4" s="2" t="inlineStr">
        <is>
          <t>off</t>
        </is>
      </c>
      <c r="H4" s="2" t="n">
        <v>-1.174</v>
      </c>
      <c r="I4" s="2" t="inlineStr">
        <is>
          <t>stop</t>
        </is>
      </c>
      <c r="J4" s="2" t="inlineStr">
        <is>
          <t>bull_flag</t>
        </is>
      </c>
      <c r="K4" s="2" t="n">
        <v>36</v>
      </c>
      <c r="L4" s="2" t="n">
        <v>0.0715705707611167</v>
      </c>
      <c r="M4" s="2" t="n">
        <v>-0.0072896361324885</v>
      </c>
      <c r="N4" s="2" t="n">
        <v>0.8330476166136045</v>
      </c>
      <c r="O4" s="2" t="n">
        <v>0.0225626794479321</v>
      </c>
      <c r="P4" s="2" t="n">
        <v>0.0117501592700976</v>
      </c>
      <c r="Q4" s="2" t="n">
        <v>-0.0012353586846151</v>
      </c>
      <c r="R4" s="2" t="n">
        <v>0</v>
      </c>
      <c r="S4" s="2" t="n">
        <v>2.09001049774731</v>
      </c>
      <c r="T4" s="2" t="n">
        <v>-0.0002183270721414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0.5</v>
      </c>
      <c r="AD4" s="2" t="n">
        <v>1.5</v>
      </c>
      <c r="AE4" s="2" t="n">
        <v>8.085000000000001</v>
      </c>
      <c r="AF4" s="2" t="n">
        <v>0.095</v>
      </c>
      <c r="AG4" s="2" t="n">
        <v>-1</v>
      </c>
      <c r="AH4" s="2" t="n">
        <v>2</v>
      </c>
      <c r="AI4" s="2" t="n">
        <v>8.085000000000001</v>
      </c>
      <c r="AJ4" s="2" t="n">
        <v>0.095</v>
      </c>
      <c r="AK4" s="2" t="n">
        <v>0.8683999999999999</v>
      </c>
      <c r="AL4" s="2" t="n">
        <v>1.5</v>
      </c>
      <c r="AM4" s="2" t="n">
        <v>8.085000000000001</v>
      </c>
      <c r="AN4" s="2" t="n">
        <v>0.095</v>
      </c>
      <c r="AO4" s="2" t="n">
        <v>0.5</v>
      </c>
      <c r="AP4" s="2" t="n">
        <v>0.5</v>
      </c>
      <c r="AQ4" s="2" t="n">
        <v>8.085000000000001</v>
      </c>
      <c r="AR4" s="2" t="n">
        <v>0.095</v>
      </c>
      <c r="AS4" s="2" t="n">
        <v>-1</v>
      </c>
      <c r="AT4" s="2" t="n">
        <v>1</v>
      </c>
      <c r="AU4" s="2" t="n">
        <v>8.085000000000001</v>
      </c>
      <c r="AV4" s="2" t="n">
        <v>0.095</v>
      </c>
      <c r="AW4" s="2" t="n">
        <v>0.8683999999999999</v>
      </c>
      <c r="AX4" s="2" t="n">
        <v>0.5</v>
      </c>
      <c r="AY4" s="2" t="n">
        <v>8.085000000000001</v>
      </c>
      <c r="AZ4" s="2" t="n">
        <v>0.095</v>
      </c>
      <c r="BA4" s="2" t="n">
        <v>0.00124</v>
      </c>
    </row>
    <row r="5">
      <c r="A5" s="2" t="inlineStr">
        <is>
          <t>2026-10-12</t>
        </is>
      </c>
      <c r="B5" s="2" t="inlineStr">
        <is>
          <t>10:08</t>
        </is>
      </c>
      <c r="C5" s="2" t="inlineStr">
        <is>
          <t>FRO</t>
        </is>
      </c>
      <c r="D5" s="2" t="n">
        <v>59</v>
      </c>
      <c r="E5" s="2" t="inlineStr">
        <is>
          <t>2026-10-12 10:07:00-04:00</t>
        </is>
      </c>
      <c r="F5" s="2" t="n"/>
      <c r="G5" s="2" t="inlineStr">
        <is>
          <t>off</t>
        </is>
      </c>
      <c r="H5" s="2" t="n">
        <v>0.295</v>
      </c>
      <c r="I5" s="2" t="inlineStr">
        <is>
          <t>breakeven</t>
        </is>
      </c>
      <c r="J5" s="2" t="inlineStr">
        <is>
          <t>vwap_pullback</t>
        </is>
      </c>
      <c r="K5" s="2" t="n">
        <v>38</v>
      </c>
      <c r="L5" s="2" t="n">
        <v>0.0543672573033096</v>
      </c>
      <c r="M5" s="2" t="n">
        <v>0.0392157009407818</v>
      </c>
      <c r="N5" s="2" t="n">
        <v>1.255078803847486</v>
      </c>
      <c r="O5" s="2" t="n">
        <v>0.0034936916684442</v>
      </c>
      <c r="P5" s="2" t="n">
        <v>0.0025359513441986</v>
      </c>
      <c r="Q5" s="2" t="n">
        <v>-0.0067170061512394</v>
      </c>
      <c r="R5" s="2" t="n">
        <v>0</v>
      </c>
      <c r="S5" s="2" t="n">
        <v>4.080076616221165</v>
      </c>
      <c r="T5" s="2" t="n">
        <v>-0.00077319925046</v>
      </c>
      <c r="U5" s="2" t="n">
        <v>1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0.5</v>
      </c>
      <c r="AD5" s="2" t="n">
        <v>1.5</v>
      </c>
      <c r="AE5" s="2" t="n">
        <v>59.13</v>
      </c>
      <c r="AF5" s="2" t="n">
        <v>0.13</v>
      </c>
      <c r="AG5" s="2" t="n">
        <v>-1</v>
      </c>
      <c r="AH5" s="2" t="n">
        <v>2</v>
      </c>
      <c r="AI5" s="2" t="n">
        <v>59.13</v>
      </c>
      <c r="AJ5" s="2" t="n">
        <v>0.13</v>
      </c>
      <c r="AK5" s="2" t="n">
        <v>0.5</v>
      </c>
      <c r="AL5" s="2" t="n">
        <v>1.5</v>
      </c>
      <c r="AM5" s="2" t="n">
        <v>59.13</v>
      </c>
      <c r="AN5" s="2" t="n">
        <v>0.13</v>
      </c>
      <c r="AO5" s="2" t="n">
        <v>0.5</v>
      </c>
      <c r="AP5" s="2" t="n">
        <v>0.5</v>
      </c>
      <c r="AQ5" s="2" t="n">
        <v>59.13</v>
      </c>
      <c r="AR5" s="2" t="n">
        <v>0.13</v>
      </c>
      <c r="AS5" s="2" t="n">
        <v>-1</v>
      </c>
      <c r="AT5" s="2" t="n">
        <v>1</v>
      </c>
      <c r="AU5" s="2" t="n">
        <v>59.13</v>
      </c>
      <c r="AV5" s="2" t="n">
        <v>0.13</v>
      </c>
      <c r="AW5" s="2" t="n">
        <v>0.5</v>
      </c>
      <c r="AX5" s="2" t="n">
        <v>0.5</v>
      </c>
      <c r="AY5" s="2" t="n">
        <v>59.13</v>
      </c>
      <c r="AZ5" s="2" t="n">
        <v>0.13</v>
      </c>
      <c r="BA5" s="2" t="n">
        <v>0.00051</v>
      </c>
    </row>
    <row r="6">
      <c r="A6" s="2" t="inlineStr">
        <is>
          <t>2026-10-12</t>
        </is>
      </c>
      <c r="B6" s="2" t="inlineStr">
        <is>
          <t>10:11</t>
        </is>
      </c>
      <c r="C6" s="2" t="inlineStr">
        <is>
          <t>BORR</t>
        </is>
      </c>
      <c r="D6" s="2" t="n">
        <v>5.09</v>
      </c>
      <c r="E6" s="2" t="inlineStr">
        <is>
          <t>2026-10-12 10:10:00-04:00</t>
        </is>
      </c>
      <c r="F6" s="2" t="n"/>
      <c r="G6" s="2" t="inlineStr">
        <is>
          <t>off</t>
        </is>
      </c>
      <c r="H6" s="2" t="n">
        <v>-1.333</v>
      </c>
      <c r="I6" s="2" t="inlineStr">
        <is>
          <t>stop</t>
        </is>
      </c>
      <c r="J6" s="2" t="inlineStr">
        <is>
          <t>vwap_pullback</t>
        </is>
      </c>
      <c r="K6" s="2" t="n">
        <v>41</v>
      </c>
      <c r="L6" s="2" t="n">
        <v>0.0732217341569114</v>
      </c>
      <c r="M6" s="2" t="n">
        <v>0.0313806719553027</v>
      </c>
      <c r="N6" s="2" t="n">
        <v>1.820422310158065</v>
      </c>
      <c r="O6" s="2" t="n">
        <v>0.0054366735747528</v>
      </c>
      <c r="P6" s="2" t="n">
        <v>0.0077972930893935</v>
      </c>
      <c r="Q6" s="2" t="n">
        <v>-0.0191204405865917</v>
      </c>
      <c r="R6" s="2" t="n">
        <v>0</v>
      </c>
      <c r="S6" s="2" t="n">
        <v>1.635105681490849</v>
      </c>
      <c r="T6" s="2" t="n">
        <v>-0.000770769038885</v>
      </c>
      <c r="U6" s="2" t="n">
        <v>1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-1</v>
      </c>
      <c r="AD6" s="2" t="n">
        <v>2</v>
      </c>
      <c r="AE6" s="2" t="n">
        <v>5.13</v>
      </c>
      <c r="AF6" s="2" t="n">
        <v>0.04</v>
      </c>
      <c r="AG6" s="2" t="n">
        <v>-1</v>
      </c>
      <c r="AH6" s="2" t="n">
        <v>2</v>
      </c>
      <c r="AI6" s="2" t="n">
        <v>5.13</v>
      </c>
      <c r="AJ6" s="2" t="n">
        <v>0.04</v>
      </c>
      <c r="AK6" s="2" t="n">
        <v>-1</v>
      </c>
      <c r="AL6" s="2" t="n">
        <v>2</v>
      </c>
      <c r="AM6" s="2" t="n">
        <v>5.13</v>
      </c>
      <c r="AN6" s="2" t="n">
        <v>0.04</v>
      </c>
      <c r="AO6" s="2" t="n">
        <v>-1</v>
      </c>
      <c r="AP6" s="2" t="n">
        <v>1</v>
      </c>
      <c r="AQ6" s="2" t="n">
        <v>5.13</v>
      </c>
      <c r="AR6" s="2" t="n">
        <v>0.04</v>
      </c>
      <c r="AS6" s="2" t="n">
        <v>-1</v>
      </c>
      <c r="AT6" s="2" t="n">
        <v>1</v>
      </c>
      <c r="AU6" s="2" t="n">
        <v>5.13</v>
      </c>
      <c r="AV6" s="2" t="n">
        <v>0.04</v>
      </c>
      <c r="AW6" s="2" t="n">
        <v>-1</v>
      </c>
      <c r="AX6" s="2" t="n">
        <v>1</v>
      </c>
      <c r="AY6" s="2" t="n">
        <v>5.13</v>
      </c>
      <c r="AZ6" s="2" t="n">
        <v>0.04</v>
      </c>
      <c r="BA6" s="2" t="n">
        <v>0.00195</v>
      </c>
    </row>
    <row r="7">
      <c r="A7" s="2" t="inlineStr">
        <is>
          <t>2026-10-12</t>
        </is>
      </c>
      <c r="B7" s="2" t="inlineStr">
        <is>
          <t>10:15</t>
        </is>
      </c>
      <c r="C7" s="2" t="inlineStr">
        <is>
          <t>FRO</t>
        </is>
      </c>
      <c r="D7" s="2" t="n">
        <v>58.93</v>
      </c>
      <c r="E7" s="2" t="inlineStr">
        <is>
          <t>2026-10-12 10:14:00-04:00</t>
        </is>
      </c>
      <c r="F7" s="2" t="n"/>
      <c r="G7" s="2" t="inlineStr">
        <is>
          <t>off</t>
        </is>
      </c>
      <c r="H7" s="2" t="n">
        <v>-1.184</v>
      </c>
      <c r="I7" s="2" t="inlineStr">
        <is>
          <t>stop</t>
        </is>
      </c>
      <c r="J7" s="2" t="inlineStr">
        <is>
          <t>ema_bounce</t>
        </is>
      </c>
      <c r="K7" s="2" t="n">
        <v>45</v>
      </c>
      <c r="L7" s="2" t="n">
        <v>0.057575818980166</v>
      </c>
      <c r="M7" s="2" t="n">
        <v>0.0392157009407818</v>
      </c>
      <c r="N7" s="2" t="n">
        <v>1.222426137305668</v>
      </c>
      <c r="O7" s="2" t="n">
        <v>0.005877350454889</v>
      </c>
      <c r="P7" s="2" t="n">
        <v>0.0067419824491783</v>
      </c>
      <c r="Q7" s="2" t="n">
        <v>-0.0036943309626265</v>
      </c>
      <c r="R7" s="2" t="n">
        <v>0</v>
      </c>
      <c r="S7" s="2" t="n">
        <v>4.083115111132757</v>
      </c>
      <c r="T7" s="2" t="n">
        <v>-0.0010018743202756</v>
      </c>
      <c r="U7" s="2" t="n">
        <v>1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-1</v>
      </c>
      <c r="AD7" s="2" t="n">
        <v>2</v>
      </c>
      <c r="AE7" s="2" t="n">
        <v>59.33</v>
      </c>
      <c r="AF7" s="2" t="n">
        <v>0.4</v>
      </c>
      <c r="AG7" s="2" t="n">
        <v>-1</v>
      </c>
      <c r="AH7" s="2" t="n">
        <v>2</v>
      </c>
      <c r="AI7" s="2" t="n">
        <v>59.33</v>
      </c>
      <c r="AJ7" s="2" t="n">
        <v>0.4</v>
      </c>
      <c r="AK7" s="2" t="n">
        <v>-1</v>
      </c>
      <c r="AL7" s="2" t="n">
        <v>2</v>
      </c>
      <c r="AM7" s="2" t="n">
        <v>59.33</v>
      </c>
      <c r="AN7" s="2" t="n">
        <v>0.4</v>
      </c>
      <c r="AO7" s="2" t="n">
        <v>-1</v>
      </c>
      <c r="AP7" s="2" t="n">
        <v>1</v>
      </c>
      <c r="AQ7" s="2" t="n">
        <v>59.33</v>
      </c>
      <c r="AR7" s="2" t="n">
        <v>0.4</v>
      </c>
      <c r="AS7" s="2" t="n">
        <v>-1</v>
      </c>
      <c r="AT7" s="2" t="n">
        <v>1</v>
      </c>
      <c r="AU7" s="2" t="n">
        <v>59.33</v>
      </c>
      <c r="AV7" s="2" t="n">
        <v>0.4</v>
      </c>
      <c r="AW7" s="2" t="n">
        <v>-1</v>
      </c>
      <c r="AX7" s="2" t="n">
        <v>1</v>
      </c>
      <c r="AY7" s="2" t="n">
        <v>59.33</v>
      </c>
      <c r="AZ7" s="2" t="n">
        <v>0.4</v>
      </c>
      <c r="BA7" s="2" t="n">
        <v>0.00034</v>
      </c>
    </row>
    <row r="8">
      <c r="A8" s="2" t="inlineStr">
        <is>
          <t>2026-10-12</t>
        </is>
      </c>
      <c r="B8" s="2" t="inlineStr">
        <is>
          <t>10:16</t>
        </is>
      </c>
      <c r="C8" s="2" t="inlineStr">
        <is>
          <t>ASTS</t>
        </is>
      </c>
      <c r="D8" s="2" t="n">
        <v>53.3</v>
      </c>
      <c r="E8" s="2" t="inlineStr">
        <is>
          <t>2026-10-12 10:15:00-04:00</t>
        </is>
      </c>
      <c r="F8" s="2" t="n"/>
      <c r="G8" s="2" t="inlineStr">
        <is>
          <t>off</t>
        </is>
      </c>
      <c r="H8" s="2" t="n">
        <v>-1.146</v>
      </c>
      <c r="I8" s="2" t="inlineStr">
        <is>
          <t>stop</t>
        </is>
      </c>
      <c r="J8" s="2" t="inlineStr">
        <is>
          <t>ema_bounce</t>
        </is>
      </c>
      <c r="K8" s="2" t="n">
        <v>46</v>
      </c>
      <c r="L8" s="2" t="n">
        <v>0.05514765569208</v>
      </c>
      <c r="M8" s="2" t="n">
        <v>0.0468949157753917</v>
      </c>
      <c r="N8" s="2" t="n">
        <v>1.928424887365185</v>
      </c>
      <c r="O8" s="2" t="n">
        <v>0.0034825060184098</v>
      </c>
      <c r="P8" s="2" t="n">
        <v>0.0088441677920282</v>
      </c>
      <c r="Q8" s="2" t="n">
        <v>-0.0163599371785557</v>
      </c>
      <c r="R8" s="2" t="n">
        <v>0</v>
      </c>
      <c r="S8" s="2" t="n">
        <v>3.984819840751144</v>
      </c>
      <c r="T8" s="2" t="n">
        <v>-0.0006101398931694</v>
      </c>
      <c r="U8" s="2" t="n">
        <v>1</v>
      </c>
      <c r="V8" s="2" t="n">
        <v>0</v>
      </c>
      <c r="W8" s="2" t="n">
        <v>0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-1</v>
      </c>
      <c r="AD8" s="2" t="n">
        <v>2</v>
      </c>
      <c r="AE8" s="2" t="n">
        <v>53.7683</v>
      </c>
      <c r="AF8" s="2" t="n">
        <v>0.4683</v>
      </c>
      <c r="AG8" s="2" t="n">
        <v>-1</v>
      </c>
      <c r="AH8" s="2" t="n">
        <v>2</v>
      </c>
      <c r="AI8" s="2" t="n">
        <v>53.7683</v>
      </c>
      <c r="AJ8" s="2" t="n">
        <v>0.4683</v>
      </c>
      <c r="AK8" s="2" t="n">
        <v>-1</v>
      </c>
      <c r="AL8" s="2" t="n">
        <v>2</v>
      </c>
      <c r="AM8" s="2" t="n">
        <v>53.7683</v>
      </c>
      <c r="AN8" s="2" t="n">
        <v>0.4683</v>
      </c>
      <c r="AO8" s="2" t="n">
        <v>-1</v>
      </c>
      <c r="AP8" s="2" t="n">
        <v>1</v>
      </c>
      <c r="AQ8" s="2" t="n">
        <v>53.7683</v>
      </c>
      <c r="AR8" s="2" t="n">
        <v>0.4683</v>
      </c>
      <c r="AS8" s="2" t="n">
        <v>-1</v>
      </c>
      <c r="AT8" s="2" t="n">
        <v>1</v>
      </c>
      <c r="AU8" s="2" t="n">
        <v>53.7683</v>
      </c>
      <c r="AV8" s="2" t="n">
        <v>0.4683</v>
      </c>
      <c r="AW8" s="2" t="n">
        <v>-1</v>
      </c>
      <c r="AX8" s="2" t="n">
        <v>1</v>
      </c>
      <c r="AY8" s="2" t="n">
        <v>53.7683</v>
      </c>
      <c r="AZ8" s="2" t="n">
        <v>0.4683</v>
      </c>
      <c r="BA8" s="2" t="n">
        <v>0.00056</v>
      </c>
    </row>
    <row r="9">
      <c r="A9" s="2" t="inlineStr">
        <is>
          <t>2026-10-12</t>
        </is>
      </c>
      <c r="B9" s="2" t="inlineStr">
        <is>
          <t>10:17</t>
        </is>
      </c>
      <c r="C9" s="2" t="inlineStr">
        <is>
          <t>DHT</t>
        </is>
      </c>
      <c r="D9" s="2" t="n">
        <v>26.11</v>
      </c>
      <c r="E9" s="2" t="inlineStr">
        <is>
          <t>2026-10-12 10:16:00-04:00</t>
        </is>
      </c>
      <c r="F9" s="2" t="n"/>
      <c r="G9" s="2" t="inlineStr">
        <is>
          <t>off</t>
        </is>
      </c>
      <c r="H9" s="2" t="n">
        <v>-1.14</v>
      </c>
      <c r="I9" s="2" t="inlineStr">
        <is>
          <t>stop</t>
        </is>
      </c>
      <c r="J9" s="2" t="inlineStr">
        <is>
          <t>ema_bounce</t>
        </is>
      </c>
      <c r="K9" s="2" t="n">
        <v>47</v>
      </c>
      <c r="L9" s="2" t="n">
        <v>0.0696022806440646</v>
      </c>
      <c r="M9" s="2" t="n">
        <v>0.0430195373193205</v>
      </c>
      <c r="N9" s="2" t="n">
        <v>1.402308060999881</v>
      </c>
      <c r="O9" s="2" t="n">
        <v>0.0109660213660354</v>
      </c>
      <c r="P9" s="2" t="n">
        <v>0.0092961315307061</v>
      </c>
      <c r="Q9" s="2" t="n">
        <v>-0.0043445324556599</v>
      </c>
      <c r="R9" s="2" t="n">
        <v>0</v>
      </c>
      <c r="S9" s="2" t="n">
        <v>3.271657992938031</v>
      </c>
      <c r="T9" s="2" t="n">
        <v>-0.0008580214738198</v>
      </c>
      <c r="U9" s="2" t="n">
        <v>1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-1</v>
      </c>
      <c r="AD9" s="2" t="n">
        <v>2</v>
      </c>
      <c r="AE9" s="2" t="n">
        <v>26.355</v>
      </c>
      <c r="AF9" s="2" t="n">
        <v>0.245</v>
      </c>
      <c r="AG9" s="2" t="n">
        <v>-1</v>
      </c>
      <c r="AH9" s="2" t="n">
        <v>2</v>
      </c>
      <c r="AI9" s="2" t="n">
        <v>26.355</v>
      </c>
      <c r="AJ9" s="2" t="n">
        <v>0.245</v>
      </c>
      <c r="AK9" s="2" t="n">
        <v>-1</v>
      </c>
      <c r="AL9" s="2" t="n">
        <v>2</v>
      </c>
      <c r="AM9" s="2" t="n">
        <v>26.355</v>
      </c>
      <c r="AN9" s="2" t="n">
        <v>0.245</v>
      </c>
      <c r="AO9" s="2" t="n">
        <v>-1</v>
      </c>
      <c r="AP9" s="2" t="n">
        <v>1</v>
      </c>
      <c r="AQ9" s="2" t="n">
        <v>26.355</v>
      </c>
      <c r="AR9" s="2" t="n">
        <v>0.245</v>
      </c>
      <c r="AS9" s="2" t="n">
        <v>-1</v>
      </c>
      <c r="AT9" s="2" t="n">
        <v>1</v>
      </c>
      <c r="AU9" s="2" t="n">
        <v>26.355</v>
      </c>
      <c r="AV9" s="2" t="n">
        <v>0.245</v>
      </c>
      <c r="AW9" s="2" t="n">
        <v>-1</v>
      </c>
      <c r="AX9" s="2" t="n">
        <v>1</v>
      </c>
      <c r="AY9" s="2" t="n">
        <v>26.355</v>
      </c>
      <c r="AZ9" s="2" t="n">
        <v>0.245</v>
      </c>
      <c r="BA9" s="2" t="n">
        <v>0.00038</v>
      </c>
    </row>
    <row r="10">
      <c r="A10" s="2" t="inlineStr">
        <is>
          <t>2026-10-12</t>
        </is>
      </c>
      <c r="B10" s="2" t="inlineStr">
        <is>
          <t>10:24</t>
        </is>
      </c>
      <c r="C10" s="2" t="inlineStr">
        <is>
          <t>ALHC</t>
        </is>
      </c>
      <c r="D10" s="2" t="n">
        <v>7.99</v>
      </c>
      <c r="E10" s="2" t="inlineStr">
        <is>
          <t>2026-10-12 10:23:00-04:00</t>
        </is>
      </c>
      <c r="F10" s="2" t="n"/>
      <c r="G10" s="2" t="inlineStr">
        <is>
          <t>off</t>
        </is>
      </c>
      <c r="H10" s="2" t="n">
        <v>-1.16</v>
      </c>
      <c r="I10" s="2" t="inlineStr">
        <is>
          <t>stop</t>
        </is>
      </c>
      <c r="J10" s="2" t="inlineStr">
        <is>
          <t>ema_bounce</t>
        </is>
      </c>
      <c r="K10" s="2" t="n">
        <v>54</v>
      </c>
      <c r="L10" s="2" t="n">
        <v>0.0730020302076495</v>
      </c>
      <c r="M10" s="2" t="n">
        <v>-0.0072896361324885</v>
      </c>
      <c r="N10" s="2" t="n">
        <v>0.7360149296663375</v>
      </c>
      <c r="O10" s="2" t="n">
        <v>0.0200700883285549</v>
      </c>
      <c r="P10" s="2" t="n">
        <v>0.0130685533925891</v>
      </c>
      <c r="Q10" s="2" t="n">
        <v>-0.0017508332303419</v>
      </c>
      <c r="R10" s="2" t="n">
        <v>0</v>
      </c>
      <c r="S10" s="2" t="n">
        <v>2.091345458063853</v>
      </c>
      <c r="T10" s="2" t="n">
        <v>-0.0008091820605544</v>
      </c>
      <c r="U10" s="2" t="n">
        <v>1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-1</v>
      </c>
      <c r="AD10" s="2" t="n">
        <v>2</v>
      </c>
      <c r="AE10" s="2" t="n">
        <v>8.095000000000001</v>
      </c>
      <c r="AF10" s="2" t="n">
        <v>0.105</v>
      </c>
      <c r="AG10" s="2" t="n">
        <v>-1</v>
      </c>
      <c r="AH10" s="2" t="n">
        <v>2</v>
      </c>
      <c r="AI10" s="2" t="n">
        <v>8.095000000000001</v>
      </c>
      <c r="AJ10" s="2" t="n">
        <v>0.105</v>
      </c>
      <c r="AK10" s="2" t="n">
        <v>-1</v>
      </c>
      <c r="AL10" s="2" t="n">
        <v>2</v>
      </c>
      <c r="AM10" s="2" t="n">
        <v>8.095000000000001</v>
      </c>
      <c r="AN10" s="2" t="n">
        <v>0.105</v>
      </c>
      <c r="AO10" s="2" t="n">
        <v>-1</v>
      </c>
      <c r="AP10" s="2" t="n">
        <v>1</v>
      </c>
      <c r="AQ10" s="2" t="n">
        <v>8.095000000000001</v>
      </c>
      <c r="AR10" s="2" t="n">
        <v>0.105</v>
      </c>
      <c r="AS10" s="2" t="n">
        <v>-1</v>
      </c>
      <c r="AT10" s="2" t="n">
        <v>1</v>
      </c>
      <c r="AU10" s="2" t="n">
        <v>8.095000000000001</v>
      </c>
      <c r="AV10" s="2" t="n">
        <v>0.105</v>
      </c>
      <c r="AW10" s="2" t="n">
        <v>-1</v>
      </c>
      <c r="AX10" s="2" t="n">
        <v>1</v>
      </c>
      <c r="AY10" s="2" t="n">
        <v>8.095000000000001</v>
      </c>
      <c r="AZ10" s="2" t="n">
        <v>0.105</v>
      </c>
      <c r="BA10" s="2" t="n">
        <v>0.00124</v>
      </c>
    </row>
    <row r="11">
      <c r="A11" s="2" t="inlineStr">
        <is>
          <t>2026-10-12</t>
        </is>
      </c>
      <c r="B11" s="2" t="inlineStr">
        <is>
          <t>10:28</t>
        </is>
      </c>
      <c r="C11" s="2" t="inlineStr">
        <is>
          <t>DHT</t>
        </is>
      </c>
      <c r="D11" s="2" t="n">
        <v>26.15</v>
      </c>
      <c r="E11" s="2" t="inlineStr">
        <is>
          <t>2026-10-12 10:27:00-04:00</t>
        </is>
      </c>
      <c r="F11" s="2" t="n"/>
      <c r="G11" s="2" t="inlineStr">
        <is>
          <t>off</t>
        </is>
      </c>
      <c r="H11" s="2" t="n">
        <v>-1.5</v>
      </c>
      <c r="I11" s="2" t="inlineStr">
        <is>
          <t>stop</t>
        </is>
      </c>
      <c r="J11" s="2" t="inlineStr">
        <is>
          <t>vwap_pullback</t>
        </is>
      </c>
      <c r="K11" s="2" t="n">
        <v>58</v>
      </c>
      <c r="L11" s="2" t="n">
        <v>0.0625000387043157</v>
      </c>
      <c r="M11" s="2" t="n">
        <v>0.0430195373193205</v>
      </c>
      <c r="N11" s="2" t="n">
        <v>1.312510582060029</v>
      </c>
      <c r="O11" s="2" t="n">
        <v>0.0036134279806021</v>
      </c>
      <c r="P11" s="2" t="n">
        <v>0.0011459245540899</v>
      </c>
      <c r="Q11" s="2" t="n">
        <v>-0.0109557618323171</v>
      </c>
      <c r="R11" s="2" t="n">
        <v>0</v>
      </c>
      <c r="S11" s="2" t="n">
        <v>3.264995772138583</v>
      </c>
      <c r="T11" s="2" t="n">
        <v>-0.0008864000735021</v>
      </c>
      <c r="U11" s="2" t="n">
        <v>1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</v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>
        <v>0.00038</v>
      </c>
    </row>
    <row r="12">
      <c r="A12" s="2" t="inlineStr">
        <is>
          <t>2026-10-12</t>
        </is>
      </c>
      <c r="B12" s="2" t="inlineStr">
        <is>
          <t>10:30</t>
        </is>
      </c>
      <c r="C12" s="2" t="inlineStr">
        <is>
          <t>CCC</t>
        </is>
      </c>
      <c r="D12" s="2" t="n">
        <v>7.61</v>
      </c>
      <c r="E12" s="2" t="inlineStr">
        <is>
          <t>2026-10-12 10:29:00-04:00</t>
        </is>
      </c>
      <c r="F12" s="2" t="n"/>
      <c r="G12" s="2" t="inlineStr">
        <is>
          <t>off</t>
        </is>
      </c>
      <c r="H12" s="2" t="n">
        <v>-0.804</v>
      </c>
      <c r="I12" s="2" t="inlineStr">
        <is>
          <t>time</t>
        </is>
      </c>
      <c r="J12" s="2" t="inlineStr">
        <is>
          <t>ema_bounce</t>
        </is>
      </c>
      <c r="K12" s="2" t="n">
        <v>60</v>
      </c>
      <c r="L12" s="2" t="n">
        <v>0.0962820490439924</v>
      </c>
      <c r="M12" s="2" t="n">
        <v>0.09401707253637349</v>
      </c>
      <c r="N12" s="2" t="n">
        <v>1.585311445735518</v>
      </c>
      <c r="O12" s="2" t="n">
        <v>0.008302855023506601</v>
      </c>
      <c r="P12" s="2" t="n">
        <v>0.0111617827398566</v>
      </c>
      <c r="Q12" s="2" t="n">
        <v>-0.0056976497472023</v>
      </c>
      <c r="R12" s="2" t="n">
        <v>0</v>
      </c>
      <c r="S12" s="2" t="n">
        <v>2.040687714757472</v>
      </c>
      <c r="T12" s="2" t="n">
        <v>-0.0008220386637254</v>
      </c>
      <c r="U12" s="2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-0.5116000000000001</v>
      </c>
      <c r="AD12" s="2" t="n">
        <v>2</v>
      </c>
      <c r="AE12" s="2" t="n">
        <v>7.6919</v>
      </c>
      <c r="AF12" s="2" t="n">
        <v>0.0819</v>
      </c>
      <c r="AG12" s="2" t="n">
        <v>-0.5116000000000001</v>
      </c>
      <c r="AH12" s="2" t="n">
        <v>2</v>
      </c>
      <c r="AI12" s="2" t="n">
        <v>7.6919</v>
      </c>
      <c r="AJ12" s="2" t="n">
        <v>0.0819</v>
      </c>
      <c r="AK12" s="2" t="n">
        <v>-0.5116000000000001</v>
      </c>
      <c r="AL12" s="2" t="n">
        <v>2</v>
      </c>
      <c r="AM12" s="2" t="n">
        <v>7.6919</v>
      </c>
      <c r="AN12" s="2" t="n">
        <v>0.0819</v>
      </c>
      <c r="AO12" s="2" t="n">
        <v>-0.5116000000000001</v>
      </c>
      <c r="AP12" s="2" t="n">
        <v>1</v>
      </c>
      <c r="AQ12" s="2" t="n">
        <v>7.6919</v>
      </c>
      <c r="AR12" s="2" t="n">
        <v>0.0819</v>
      </c>
      <c r="AS12" s="2" t="n">
        <v>-0.5116000000000001</v>
      </c>
      <c r="AT12" s="2" t="n">
        <v>1</v>
      </c>
      <c r="AU12" s="2" t="n">
        <v>7.6919</v>
      </c>
      <c r="AV12" s="2" t="n">
        <v>0.0819</v>
      </c>
      <c r="AW12" s="2" t="n">
        <v>-0.5116000000000001</v>
      </c>
      <c r="AX12" s="2" t="n">
        <v>1</v>
      </c>
      <c r="AY12" s="2" t="n">
        <v>7.6919</v>
      </c>
      <c r="AZ12" s="2" t="n">
        <v>0.0819</v>
      </c>
      <c r="BA12" s="2" t="n">
        <v>0.0013</v>
      </c>
    </row>
    <row r="13">
      <c r="A13" s="2" t="inlineStr">
        <is>
          <t>2026-10-12</t>
        </is>
      </c>
      <c r="B13" s="2" t="inlineStr">
        <is>
          <t>10:31</t>
        </is>
      </c>
      <c r="C13" s="2" t="inlineStr">
        <is>
          <t>ASTS</t>
        </is>
      </c>
      <c r="D13" s="2" t="n">
        <v>53.32</v>
      </c>
      <c r="E13" s="2" t="inlineStr">
        <is>
          <t>2026-10-12 10:30:00-04:00</t>
        </is>
      </c>
      <c r="F13" s="2" t="n"/>
      <c r="G13" s="2" t="inlineStr">
        <is>
          <t>off</t>
        </is>
      </c>
      <c r="H13" s="2" t="n">
        <v>-1.229</v>
      </c>
      <c r="I13" s="2" t="inlineStr">
        <is>
          <t>stop</t>
        </is>
      </c>
      <c r="J13" s="2" t="inlineStr">
        <is>
          <t>vwap_pullback</t>
        </is>
      </c>
      <c r="K13" s="2" t="n">
        <v>61</v>
      </c>
      <c r="L13" s="2" t="n">
        <v>0.0524869857559435</v>
      </c>
      <c r="M13" s="2" t="n">
        <v>0.0468949157753917</v>
      </c>
      <c r="N13" s="2" t="n">
        <v>1.77337282468267</v>
      </c>
      <c r="O13" s="2" t="n">
        <v>0.0008088179889735</v>
      </c>
      <c r="P13" s="2" t="n">
        <v>0.005965685930082</v>
      </c>
      <c r="Q13" s="2" t="n">
        <v>-0.018840292917404</v>
      </c>
      <c r="R13" s="2" t="n">
        <v>0</v>
      </c>
      <c r="S13" s="2" t="n">
        <v>3.982295047034813</v>
      </c>
      <c r="T13" s="2" t="n">
        <v>-0.0007578340417923</v>
      </c>
      <c r="U13" s="2" t="n">
        <v>1</v>
      </c>
      <c r="V13" s="2" t="n">
        <v>0</v>
      </c>
      <c r="W13" s="2" t="n">
        <v>0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-1</v>
      </c>
      <c r="AD13" s="2" t="n">
        <v>2</v>
      </c>
      <c r="AE13" s="2" t="n">
        <v>53.59</v>
      </c>
      <c r="AF13" s="2" t="n">
        <v>0.27</v>
      </c>
      <c r="AG13" s="2" t="n">
        <v>-1</v>
      </c>
      <c r="AH13" s="2" t="n">
        <v>2</v>
      </c>
      <c r="AI13" s="2" t="n">
        <v>53.59</v>
      </c>
      <c r="AJ13" s="2" t="n">
        <v>0.27</v>
      </c>
      <c r="AK13" s="2" t="n">
        <v>-1</v>
      </c>
      <c r="AL13" s="2" t="n">
        <v>2</v>
      </c>
      <c r="AM13" s="2" t="n">
        <v>53.59</v>
      </c>
      <c r="AN13" s="2" t="n">
        <v>0.27</v>
      </c>
      <c r="AO13" s="2" t="n">
        <v>-1</v>
      </c>
      <c r="AP13" s="2" t="n">
        <v>1</v>
      </c>
      <c r="AQ13" s="2" t="n">
        <v>53.59</v>
      </c>
      <c r="AR13" s="2" t="n">
        <v>0.27</v>
      </c>
      <c r="AS13" s="2" t="n">
        <v>-1</v>
      </c>
      <c r="AT13" s="2" t="n">
        <v>1</v>
      </c>
      <c r="AU13" s="2" t="n">
        <v>53.59</v>
      </c>
      <c r="AV13" s="2" t="n">
        <v>0.27</v>
      </c>
      <c r="AW13" s="2" t="n">
        <v>-1</v>
      </c>
      <c r="AX13" s="2" t="n">
        <v>1</v>
      </c>
      <c r="AY13" s="2" t="n">
        <v>53.59</v>
      </c>
      <c r="AZ13" s="2" t="n">
        <v>0.27</v>
      </c>
      <c r="BA13" s="2" t="n">
        <v>0.00056</v>
      </c>
    </row>
    <row r="14">
      <c r="A14" s="2" t="inlineStr">
        <is>
          <t>2026-10-12</t>
        </is>
      </c>
      <c r="B14" s="2" t="inlineStr">
        <is>
          <t>10:51</t>
        </is>
      </c>
      <c r="C14" s="2" t="inlineStr">
        <is>
          <t>CCC</t>
        </is>
      </c>
      <c r="D14" s="2" t="n">
        <v>7.63</v>
      </c>
      <c r="E14" s="2" t="inlineStr">
        <is>
          <t>2026-10-12 10:50:00-04:00</t>
        </is>
      </c>
      <c r="F14" s="2" t="n"/>
      <c r="G14" s="2" t="inlineStr">
        <is>
          <t>off</t>
        </is>
      </c>
      <c r="H14" s="2" t="n">
        <v>-1.444</v>
      </c>
      <c r="I14" s="2" t="inlineStr">
        <is>
          <t>stop</t>
        </is>
      </c>
      <c r="J14" s="2" t="inlineStr">
        <is>
          <t>vwap_pullback</t>
        </is>
      </c>
      <c r="K14" s="2" t="n">
        <v>81</v>
      </c>
      <c r="L14" s="2" t="n">
        <v>0.09045587330586111</v>
      </c>
      <c r="M14" s="2" t="n">
        <v>0.09401707253637349</v>
      </c>
      <c r="N14" s="2" t="n">
        <v>1.505277663549907</v>
      </c>
      <c r="O14" s="2" t="n">
        <v>0.0015377803020026</v>
      </c>
      <c r="P14" s="2" t="n">
        <v>0.0032658666392088</v>
      </c>
      <c r="Q14" s="2" t="n">
        <v>-0.0109818557911319</v>
      </c>
      <c r="R14" s="2" t="n">
        <v>0</v>
      </c>
      <c r="S14" s="2" t="n">
        <v>2.035359056517661</v>
      </c>
      <c r="T14" s="2" t="n">
        <v>-0.000748191589414</v>
      </c>
      <c r="U14" s="2" t="n">
        <v>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-1</v>
      </c>
      <c r="AD14" s="2" t="n">
        <v>2</v>
      </c>
      <c r="AE14" s="2" t="n">
        <v>7.655</v>
      </c>
      <c r="AF14" s="2" t="n">
        <v>0.025</v>
      </c>
      <c r="AG14" s="2" t="n">
        <v>-1</v>
      </c>
      <c r="AH14" s="2" t="n">
        <v>2</v>
      </c>
      <c r="AI14" s="2" t="n">
        <v>7.655</v>
      </c>
      <c r="AJ14" s="2" t="n">
        <v>0.025</v>
      </c>
      <c r="AK14" s="2" t="n">
        <v>-1</v>
      </c>
      <c r="AL14" s="2" t="n">
        <v>2</v>
      </c>
      <c r="AM14" s="2" t="n">
        <v>7.655</v>
      </c>
      <c r="AN14" s="2" t="n">
        <v>0.025</v>
      </c>
      <c r="AO14" s="2" t="n">
        <v>-1</v>
      </c>
      <c r="AP14" s="2" t="n">
        <v>1</v>
      </c>
      <c r="AQ14" s="2" t="n">
        <v>7.655</v>
      </c>
      <c r="AR14" s="2" t="n">
        <v>0.025</v>
      </c>
      <c r="AS14" s="2" t="n">
        <v>-1</v>
      </c>
      <c r="AT14" s="2" t="n">
        <v>1</v>
      </c>
      <c r="AU14" s="2" t="n">
        <v>7.655</v>
      </c>
      <c r="AV14" s="2" t="n">
        <v>0.025</v>
      </c>
      <c r="AW14" s="2" t="n">
        <v>-1</v>
      </c>
      <c r="AX14" s="2" t="n">
        <v>1</v>
      </c>
      <c r="AY14" s="2" t="n">
        <v>7.655</v>
      </c>
      <c r="AZ14" s="2" t="n">
        <v>0.025</v>
      </c>
      <c r="BA14" s="2" t="n">
        <v>0.00131</v>
      </c>
    </row>
    <row r="15">
      <c r="A15" s="2" t="inlineStr">
        <is>
          <t>2026-10-12</t>
        </is>
      </c>
      <c r="B15" s="2" t="inlineStr">
        <is>
          <t>12:29</t>
        </is>
      </c>
      <c r="C15" s="2" t="inlineStr">
        <is>
          <t>ECO</t>
        </is>
      </c>
      <c r="D15" s="2" t="n">
        <v>98.06</v>
      </c>
      <c r="E15" s="2" t="inlineStr">
        <is>
          <t>2026-10-12 12:28:00-04:00</t>
        </is>
      </c>
      <c r="F15" s="2" t="n"/>
      <c r="G15" s="2" t="inlineStr">
        <is>
          <t>off</t>
        </is>
      </c>
      <c r="H15" s="2" t="n">
        <v>-1.469</v>
      </c>
      <c r="I15" s="2" t="inlineStr">
        <is>
          <t>stop</t>
        </is>
      </c>
      <c r="J15" s="2" t="inlineStr">
        <is>
          <t>vwap_pullback</t>
        </is>
      </c>
      <c r="K15" s="2" t="n">
        <v>179</v>
      </c>
      <c r="L15" s="2" t="n">
        <v>0.0550960930060142</v>
      </c>
      <c r="M15" s="2" t="n">
        <v>0.04027494335107</v>
      </c>
      <c r="N15" s="2" t="n">
        <v>1.100538159906054</v>
      </c>
      <c r="O15" s="2" t="n">
        <v>0.0007194167575228</v>
      </c>
      <c r="P15" s="2" t="n">
        <v>0.001832225851828</v>
      </c>
      <c r="Q15" s="2" t="n">
        <v>-0.008978103644785001</v>
      </c>
      <c r="R15" s="2" t="n">
        <v>0</v>
      </c>
      <c r="S15" s="2" t="n">
        <v>4.587413442653815</v>
      </c>
      <c r="T15" s="2" t="n">
        <v>-0.0005779983852419</v>
      </c>
      <c r="U15" s="2" t="n">
        <v>1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>
        <v>0.00326</v>
      </c>
    </row>
    <row r="16">
      <c r="A16" s="2" t="inlineStr">
        <is>
          <t>2026-10-12</t>
        </is>
      </c>
      <c r="B16" s="2" t="inlineStr">
        <is>
          <t>12:29</t>
        </is>
      </c>
      <c r="C16" s="2" t="inlineStr">
        <is>
          <t>ECO</t>
        </is>
      </c>
      <c r="D16" s="2" t="n">
        <v>97.70999999999999</v>
      </c>
      <c r="E16" s="2" t="inlineStr">
        <is>
          <t>2026-10-12 12:28:00-04:00</t>
        </is>
      </c>
      <c r="F16" s="2" t="n"/>
      <c r="G16" s="2" t="inlineStr">
        <is>
          <t>off</t>
        </is>
      </c>
      <c r="H16" s="2" t="n">
        <v>0.388</v>
      </c>
      <c r="I16" s="2" t="inlineStr">
        <is>
          <t>breakeven</t>
        </is>
      </c>
      <c r="J16" s="2" t="inlineStr">
        <is>
          <t>ema_bounce</t>
        </is>
      </c>
      <c r="K16" s="2" t="n">
        <v>179</v>
      </c>
      <c r="L16" s="2" t="n">
        <v>0.0550960930060142</v>
      </c>
      <c r="M16" s="2" t="n">
        <v>0.04027494335107</v>
      </c>
      <c r="N16" s="2" t="n">
        <v>1.100538159906054</v>
      </c>
      <c r="O16" s="2" t="n">
        <v>0.0007194167575228</v>
      </c>
      <c r="P16" s="2" t="n">
        <v>0.005394929512361</v>
      </c>
      <c r="Q16" s="2" t="n">
        <v>-0.008978103644785001</v>
      </c>
      <c r="R16" s="2" t="n">
        <v>0</v>
      </c>
      <c r="S16" s="2" t="n">
        <v>4.587413442653815</v>
      </c>
      <c r="T16" s="2" t="n">
        <v>-0.0005779983852419</v>
      </c>
      <c r="U16" s="2" t="n">
        <v>1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0.5</v>
      </c>
      <c r="AD16" s="2" t="n">
        <v>1.5</v>
      </c>
      <c r="AE16" s="2" t="n">
        <v>98.23</v>
      </c>
      <c r="AF16" s="2" t="n">
        <v>0.52</v>
      </c>
      <c r="AG16" s="2" t="n">
        <v>0.1346</v>
      </c>
      <c r="AH16" s="2" t="n">
        <v>2</v>
      </c>
      <c r="AI16" s="2" t="n">
        <v>98.23</v>
      </c>
      <c r="AJ16" s="2" t="n">
        <v>0.52</v>
      </c>
      <c r="AK16" s="2" t="n">
        <v>0.7786</v>
      </c>
      <c r="AL16" s="2" t="n">
        <v>1.5</v>
      </c>
      <c r="AM16" s="2" t="n">
        <v>98.23</v>
      </c>
      <c r="AN16" s="2" t="n">
        <v>0.52</v>
      </c>
      <c r="AO16" s="2" t="n">
        <v>0.5</v>
      </c>
      <c r="AP16" s="2" t="n">
        <v>0.5</v>
      </c>
      <c r="AQ16" s="2" t="n">
        <v>98.23</v>
      </c>
      <c r="AR16" s="2" t="n">
        <v>0.52</v>
      </c>
      <c r="AS16" s="2" t="n">
        <v>0.1346</v>
      </c>
      <c r="AT16" s="2" t="n">
        <v>1</v>
      </c>
      <c r="AU16" s="2" t="n">
        <v>98.23</v>
      </c>
      <c r="AV16" s="2" t="n">
        <v>0.52</v>
      </c>
      <c r="AW16" s="2" t="n">
        <v>0.7786</v>
      </c>
      <c r="AX16" s="2" t="n">
        <v>0.5</v>
      </c>
      <c r="AY16" s="2" t="n">
        <v>98.23</v>
      </c>
      <c r="AZ16" s="2" t="n">
        <v>0.52</v>
      </c>
      <c r="BA16" s="2" t="n">
        <v>0.00326</v>
      </c>
    </row>
    <row r="17">
      <c r="A17" s="2" t="inlineStr">
        <is>
          <t>2026-10-12</t>
        </is>
      </c>
      <c r="B17" s="2" t="inlineStr">
        <is>
          <t>12:29</t>
        </is>
      </c>
      <c r="C17" s="2" t="inlineStr">
        <is>
          <t>MDT</t>
        </is>
      </c>
      <c r="D17" s="2" t="n">
        <v>91.15000000000001</v>
      </c>
      <c r="E17" s="2" t="inlineStr">
        <is>
          <t>2026-10-12 12:28:00-04:00</t>
        </is>
      </c>
      <c r="F17" s="2" t="n"/>
      <c r="G17" s="2" t="inlineStr">
        <is>
          <t>off</t>
        </is>
      </c>
      <c r="H17" s="2" t="n">
        <v>-0.441</v>
      </c>
      <c r="I17" s="2" t="inlineStr">
        <is>
          <t>time</t>
        </is>
      </c>
      <c r="J17" s="2" t="inlineStr">
        <is>
          <t>ema_bounce</t>
        </is>
      </c>
      <c r="K17" s="2" t="n">
        <v>179</v>
      </c>
      <c r="L17" s="2" t="n">
        <v>0.0373609228600813</v>
      </c>
      <c r="M17" s="2" t="n">
        <v>0.0257685204881743</v>
      </c>
      <c r="N17" s="2" t="n">
        <v>1.349430504448384</v>
      </c>
      <c r="O17" s="2" t="n">
        <v>0.0003337696383742</v>
      </c>
      <c r="P17" s="2" t="n">
        <v>0.0069258931543775</v>
      </c>
      <c r="Q17" s="2" t="n">
        <v>-0.0116755117637833</v>
      </c>
      <c r="R17" s="2" t="n">
        <v>0</v>
      </c>
      <c r="S17" s="2" t="n">
        <v>4.519456489595886</v>
      </c>
      <c r="T17" s="2" t="n">
        <v>-0.0005779983852419</v>
      </c>
      <c r="U17" s="2" t="n">
        <v>1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-0.1</v>
      </c>
      <c r="AD17" s="2" t="n">
        <v>2</v>
      </c>
      <c r="AE17" s="2" t="n">
        <v>91.79000000000001</v>
      </c>
      <c r="AF17" s="2" t="n">
        <v>0.64</v>
      </c>
      <c r="AG17" s="2" t="n">
        <v>-0.1</v>
      </c>
      <c r="AH17" s="2" t="n">
        <v>2</v>
      </c>
      <c r="AI17" s="2" t="n">
        <v>91.79000000000001</v>
      </c>
      <c r="AJ17" s="2" t="n">
        <v>0.64</v>
      </c>
      <c r="AK17" s="2" t="n">
        <v>-0.1</v>
      </c>
      <c r="AL17" s="2" t="n">
        <v>2</v>
      </c>
      <c r="AM17" s="2" t="n">
        <v>91.79000000000001</v>
      </c>
      <c r="AN17" s="2" t="n">
        <v>0.64</v>
      </c>
      <c r="AO17" s="2" t="n">
        <v>-0.0939</v>
      </c>
      <c r="AP17" s="2" t="n">
        <v>1</v>
      </c>
      <c r="AQ17" s="2" t="n">
        <v>91.78570000000001</v>
      </c>
      <c r="AR17" s="2" t="n">
        <v>0.6357</v>
      </c>
      <c r="AS17" s="2" t="n">
        <v>-0.0939</v>
      </c>
      <c r="AT17" s="2" t="n">
        <v>1</v>
      </c>
      <c r="AU17" s="2" t="n">
        <v>91.78570000000001</v>
      </c>
      <c r="AV17" s="2" t="n">
        <v>0.6357</v>
      </c>
      <c r="AW17" s="2" t="n">
        <v>-0.0939</v>
      </c>
      <c r="AX17" s="2" t="n">
        <v>1</v>
      </c>
      <c r="AY17" s="2" t="n">
        <v>91.78570000000001</v>
      </c>
      <c r="AZ17" s="2" t="n">
        <v>0.6357</v>
      </c>
      <c r="BA17" s="2" t="n">
        <v>0.00011</v>
      </c>
    </row>
    <row r="18">
      <c r="A18" s="2" t="inlineStr">
        <is>
          <t>2026-10-12</t>
        </is>
      </c>
      <c r="B18" s="2" t="inlineStr">
        <is>
          <t>12:48</t>
        </is>
      </c>
      <c r="C18" s="2" t="inlineStr">
        <is>
          <t>BORR</t>
        </is>
      </c>
      <c r="D18" s="2" t="n">
        <v>5.02</v>
      </c>
      <c r="E18" s="2" t="inlineStr">
        <is>
          <t>2026-10-12 12:47:00-04:00</t>
        </is>
      </c>
      <c r="F18" s="2" t="n"/>
      <c r="G18" s="2" t="inlineStr">
        <is>
          <t>off</t>
        </is>
      </c>
      <c r="H18" s="2" t="n">
        <v>-1.327</v>
      </c>
      <c r="I18" s="2" t="inlineStr">
        <is>
          <t>stop</t>
        </is>
      </c>
      <c r="J18" s="2" t="inlineStr">
        <is>
          <t>ema_bounce</t>
        </is>
      </c>
      <c r="K18" s="2" t="n">
        <v>198</v>
      </c>
      <c r="L18" s="2" t="n">
        <v>0.0606694454234457</v>
      </c>
      <c r="M18" s="2" t="n">
        <v>0.0313806719553027</v>
      </c>
      <c r="N18" s="2" t="n">
        <v>1.266054342798912</v>
      </c>
      <c r="O18" s="2" t="n">
        <v>0.0006515577644226</v>
      </c>
      <c r="P18" s="2" t="n">
        <v>0.009861966463206801</v>
      </c>
      <c r="Q18" s="2" t="n">
        <v>-0.0305927049385468</v>
      </c>
      <c r="R18" s="2" t="n">
        <v>0</v>
      </c>
      <c r="S18" s="2" t="n">
        <v>1.623340851461351</v>
      </c>
      <c r="T18" s="2" t="n">
        <v>-0.0006357747055896</v>
      </c>
      <c r="U18" s="2" t="n">
        <v>1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-1</v>
      </c>
      <c r="AD18" s="2" t="n">
        <v>2</v>
      </c>
      <c r="AE18" s="2" t="n">
        <v>5.0612</v>
      </c>
      <c r="AF18" s="2" t="n">
        <v>0.0412</v>
      </c>
      <c r="AG18" s="2" t="n">
        <v>-1</v>
      </c>
      <c r="AH18" s="2" t="n">
        <v>2</v>
      </c>
      <c r="AI18" s="2" t="n">
        <v>5.0612</v>
      </c>
      <c r="AJ18" s="2" t="n">
        <v>0.0412</v>
      </c>
      <c r="AK18" s="2" t="n">
        <v>-1</v>
      </c>
      <c r="AL18" s="2" t="n">
        <v>2</v>
      </c>
      <c r="AM18" s="2" t="n">
        <v>5.0612</v>
      </c>
      <c r="AN18" s="2" t="n">
        <v>0.0412</v>
      </c>
      <c r="AO18" s="2" t="n">
        <v>-1</v>
      </c>
      <c r="AP18" s="2" t="n">
        <v>1</v>
      </c>
      <c r="AQ18" s="2" t="n">
        <v>5.0612</v>
      </c>
      <c r="AR18" s="2" t="n">
        <v>0.0412</v>
      </c>
      <c r="AS18" s="2" t="n">
        <v>-1</v>
      </c>
      <c r="AT18" s="2" t="n">
        <v>1</v>
      </c>
      <c r="AU18" s="2" t="n">
        <v>5.0612</v>
      </c>
      <c r="AV18" s="2" t="n">
        <v>0.0412</v>
      </c>
      <c r="AW18" s="2" t="n">
        <v>-1</v>
      </c>
      <c r="AX18" s="2" t="n">
        <v>1</v>
      </c>
      <c r="AY18" s="2" t="n">
        <v>5.0612</v>
      </c>
      <c r="AZ18" s="2" t="n">
        <v>0.0412</v>
      </c>
      <c r="BA18" s="2" t="n">
        <v>0.00197</v>
      </c>
    </row>
    <row r="19">
      <c r="A19" s="2" t="inlineStr">
        <is>
          <t>2026-10-12</t>
        </is>
      </c>
      <c r="B19" s="2" t="inlineStr">
        <is>
          <t>13:45</t>
        </is>
      </c>
      <c r="C19" s="2" t="inlineStr">
        <is>
          <t>MDT</t>
        </is>
      </c>
      <c r="D19" s="2" t="n">
        <v>91.83</v>
      </c>
      <c r="E19" s="2" t="inlineStr">
        <is>
          <t>2026-10-12 13:44:00-04:00</t>
        </is>
      </c>
      <c r="F19" s="2" t="n"/>
      <c r="G19" s="2" t="inlineStr">
        <is>
          <t>off</t>
        </is>
      </c>
      <c r="H19" s="2" t="n">
        <v>-1.418</v>
      </c>
      <c r="I19" s="2" t="inlineStr">
        <is>
          <t>stop</t>
        </is>
      </c>
      <c r="J19" s="2" t="inlineStr">
        <is>
          <t>vwap_pullback</t>
        </is>
      </c>
      <c r="K19" s="2" t="n">
        <v>255</v>
      </c>
      <c r="L19" s="2" t="n">
        <v>0.0401220082241904</v>
      </c>
      <c r="M19" s="2" t="n">
        <v>0.0257685204881743</v>
      </c>
      <c r="N19" s="2" t="n">
        <v>1.139951345115782</v>
      </c>
      <c r="O19" s="2" t="n">
        <v>0.0029673559670504</v>
      </c>
      <c r="P19" s="2" t="n">
        <v>0.0021731911545115</v>
      </c>
      <c r="Q19" s="2" t="n">
        <v>-0.009044943926375301</v>
      </c>
      <c r="R19" s="2" t="n">
        <v>0</v>
      </c>
      <c r="S19" s="2" t="n">
        <v>4.522114597586579</v>
      </c>
      <c r="T19" s="2" t="n">
        <v>-0.0010789355453798</v>
      </c>
      <c r="U19" s="2" t="n">
        <v>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-1</v>
      </c>
      <c r="AD19" s="2" t="n">
        <v>2</v>
      </c>
      <c r="AE19" s="2" t="n">
        <v>92.02500000000001</v>
      </c>
      <c r="AF19" s="2" t="n">
        <v>0.195</v>
      </c>
      <c r="AG19" s="2" t="n">
        <v>-1</v>
      </c>
      <c r="AH19" s="2" t="n">
        <v>2</v>
      </c>
      <c r="AI19" s="2" t="n">
        <v>92.02500000000001</v>
      </c>
      <c r="AJ19" s="2" t="n">
        <v>0.195</v>
      </c>
      <c r="AK19" s="2" t="n">
        <v>-1</v>
      </c>
      <c r="AL19" s="2" t="n">
        <v>2</v>
      </c>
      <c r="AM19" s="2" t="n">
        <v>92.02500000000001</v>
      </c>
      <c r="AN19" s="2" t="n">
        <v>0.195</v>
      </c>
      <c r="AO19" s="2" t="n">
        <v>-1</v>
      </c>
      <c r="AP19" s="2" t="n">
        <v>1</v>
      </c>
      <c r="AQ19" s="2" t="n">
        <v>92.02500000000001</v>
      </c>
      <c r="AR19" s="2" t="n">
        <v>0.195</v>
      </c>
      <c r="AS19" s="2" t="n">
        <v>-1</v>
      </c>
      <c r="AT19" s="2" t="n">
        <v>1</v>
      </c>
      <c r="AU19" s="2" t="n">
        <v>92.02500000000001</v>
      </c>
      <c r="AV19" s="2" t="n">
        <v>0.195</v>
      </c>
      <c r="AW19" s="2" t="n">
        <v>-1</v>
      </c>
      <c r="AX19" s="2" t="n">
        <v>1</v>
      </c>
      <c r="AY19" s="2" t="n">
        <v>92.02500000000001</v>
      </c>
      <c r="AZ19" s="2" t="n">
        <v>0.195</v>
      </c>
      <c r="BA19" s="2" t="n">
        <v>0.00011</v>
      </c>
    </row>
    <row r="20">
      <c r="A20" s="2" t="inlineStr">
        <is>
          <t>2026-10-12</t>
        </is>
      </c>
      <c r="B20" s="2" t="inlineStr">
        <is>
          <t>14:01</t>
        </is>
      </c>
      <c r="C20" s="2" t="inlineStr">
        <is>
          <t>ALHC</t>
        </is>
      </c>
      <c r="D20" s="2" t="n">
        <v>8.09</v>
      </c>
      <c r="E20" s="2" t="inlineStr">
        <is>
          <t>2026-10-12 14:00:00-04:00</t>
        </is>
      </c>
      <c r="F20" s="2" t="n"/>
      <c r="G20" s="2" t="inlineStr">
        <is>
          <t>off</t>
        </is>
      </c>
      <c r="H20" s="2" t="n">
        <v>0.323</v>
      </c>
      <c r="I20" s="2" t="inlineStr">
        <is>
          <t>breakeven</t>
        </is>
      </c>
      <c r="J20" s="2" t="inlineStr">
        <is>
          <t>vwap_pullback</t>
        </is>
      </c>
      <c r="K20" s="2" t="n">
        <v>271</v>
      </c>
      <c r="L20" s="2" t="n">
        <v>0.0768720898397852</v>
      </c>
      <c r="M20" s="2" t="n">
        <v>-0.0072896361324885</v>
      </c>
      <c r="N20" s="2" t="n">
        <v>0.4882064377610609</v>
      </c>
      <c r="O20" s="2" t="n">
        <v>0.0046530746490922</v>
      </c>
      <c r="P20" s="2" t="n">
        <v>0.0043076923076923</v>
      </c>
      <c r="Q20" s="2" t="n">
        <v>-0.0222623839079459</v>
      </c>
      <c r="R20" s="2" t="n">
        <v>0</v>
      </c>
      <c r="S20" s="2" t="n">
        <v>2.094945728215801</v>
      </c>
      <c r="T20" s="2" t="n">
        <v>-0.0011944881860751</v>
      </c>
      <c r="U20" s="2" t="n">
        <v>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1.5</v>
      </c>
      <c r="AD20" s="2" t="n">
        <v>1</v>
      </c>
      <c r="AE20" s="2" t="n">
        <v>8.1265</v>
      </c>
      <c r="AF20" s="2" t="n">
        <v>0.0365</v>
      </c>
      <c r="AG20" s="2" t="n">
        <v>0.5069</v>
      </c>
      <c r="AH20" s="2" t="n">
        <v>2</v>
      </c>
      <c r="AI20" s="2" t="n">
        <v>8.1265</v>
      </c>
      <c r="AJ20" s="2" t="n">
        <v>0.0365</v>
      </c>
      <c r="AK20" s="2" t="n">
        <v>0.8219</v>
      </c>
      <c r="AL20" s="2" t="n">
        <v>1.5</v>
      </c>
      <c r="AM20" s="2" t="n">
        <v>8.1265</v>
      </c>
      <c r="AN20" s="2" t="n">
        <v>0.0365</v>
      </c>
      <c r="AO20" s="2" t="n">
        <v>1.5</v>
      </c>
      <c r="AP20" s="2" t="n">
        <v>0</v>
      </c>
      <c r="AQ20" s="2" t="n">
        <v>8.125</v>
      </c>
      <c r="AR20" s="2" t="n">
        <v>0.035</v>
      </c>
      <c r="AS20" s="2" t="n">
        <v>0.5714</v>
      </c>
      <c r="AT20" s="2" t="n">
        <v>1</v>
      </c>
      <c r="AU20" s="2" t="n">
        <v>8.125</v>
      </c>
      <c r="AV20" s="2" t="n">
        <v>0.035</v>
      </c>
      <c r="AW20" s="2" t="n">
        <v>0.8571</v>
      </c>
      <c r="AX20" s="2" t="n">
        <v>0.5</v>
      </c>
      <c r="AY20" s="2" t="n">
        <v>8.125</v>
      </c>
      <c r="AZ20" s="2" t="n">
        <v>0.035</v>
      </c>
      <c r="BA20" s="2" t="n">
        <v>0.00123</v>
      </c>
    </row>
    <row r="21">
      <c r="A21" s="2" t="inlineStr">
        <is>
          <t>2026-10-12</t>
        </is>
      </c>
      <c r="B21" s="2" t="inlineStr">
        <is>
          <t>15:30</t>
        </is>
      </c>
      <c r="C21" s="2" t="inlineStr">
        <is>
          <t>ECO</t>
        </is>
      </c>
      <c r="D21" s="2" t="n">
        <v>98.31999999999999</v>
      </c>
      <c r="E21" s="2" t="inlineStr">
        <is>
          <t>2026-10-12 15:29:00-04:00</t>
        </is>
      </c>
      <c r="F21" s="2" t="n"/>
      <c r="G21" s="2" t="inlineStr">
        <is>
          <t>off</t>
        </is>
      </c>
      <c r="H21" s="2" t="n">
        <v>-1.762</v>
      </c>
      <c r="I21" s="2" t="inlineStr">
        <is>
          <t>stop</t>
        </is>
      </c>
      <c r="J21" s="2" t="inlineStr">
        <is>
          <t>eod_squeeze</t>
        </is>
      </c>
      <c r="K21" s="2" t="n">
        <v>360</v>
      </c>
      <c r="L21" s="2" t="n">
        <v>0.0571453200125793</v>
      </c>
      <c r="M21" s="2" t="n">
        <v>0.04027494335107</v>
      </c>
      <c r="N21" s="2" t="n">
        <v>1.081601451181073</v>
      </c>
      <c r="O21" s="2" t="n">
        <v>0.0021181073993283</v>
      </c>
      <c r="P21" s="2" t="n">
        <v>0.0011256780401568</v>
      </c>
      <c r="Q21" s="2" t="n">
        <v>-0.0070533227195493</v>
      </c>
      <c r="R21" s="2" t="n">
        <v>0</v>
      </c>
      <c r="S21" s="2" t="n">
        <v>4.589353777349331</v>
      </c>
      <c r="T21" s="2" t="n">
        <v>-0.0016055075179378</v>
      </c>
      <c r="U21" s="2" t="n">
        <v>1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>
        <v>0.00346</v>
      </c>
    </row>
    <row r="22">
      <c r="A22" s="2" t="inlineStr">
        <is>
          <t>2026-10-12</t>
        </is>
      </c>
      <c r="B22" s="2" t="inlineStr">
        <is>
          <t>15:46</t>
        </is>
      </c>
      <c r="C22" s="2" t="inlineStr">
        <is>
          <t>ALHC</t>
        </is>
      </c>
      <c r="D22" s="2" t="n">
        <v>8.1</v>
      </c>
      <c r="E22" s="2" t="inlineStr">
        <is>
          <t>2026-10-12 15:45:00-04:00</t>
        </is>
      </c>
      <c r="F22" s="2" t="n"/>
      <c r="G22" s="2" t="inlineStr">
        <is>
          <t>off</t>
        </is>
      </c>
      <c r="H22" s="2" t="n">
        <v>-1.138</v>
      </c>
      <c r="I22" s="2" t="inlineStr">
        <is>
          <t>stop</t>
        </is>
      </c>
      <c r="J22" s="2" t="inlineStr">
        <is>
          <t>eod_squeeze</t>
        </is>
      </c>
      <c r="K22" s="2" t="n">
        <v>376</v>
      </c>
      <c r="L22" s="2" t="n">
        <v>0.0907885300219706</v>
      </c>
      <c r="M22" s="2" t="n">
        <v>-0.0072896361324885</v>
      </c>
      <c r="N22" s="2" t="n">
        <v>0.4329119846571669</v>
      </c>
      <c r="O22" s="2" t="n">
        <v>0.0161551673572555</v>
      </c>
      <c r="P22" s="2" t="n">
        <v>0.0157958140300216</v>
      </c>
      <c r="Q22" s="2" t="n">
        <v>-0.009627060570480701</v>
      </c>
      <c r="R22" s="2" t="n">
        <v>0</v>
      </c>
      <c r="S22" s="2" t="n">
        <v>2.107785959067632</v>
      </c>
      <c r="T22" s="2" t="n">
        <v>-0.0008348952668963</v>
      </c>
      <c r="U22" s="2" t="n">
        <v>1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-1</v>
      </c>
      <c r="AD22" s="2" t="n">
        <v>2</v>
      </c>
      <c r="AE22" s="2" t="n">
        <v>8.225</v>
      </c>
      <c r="AF22" s="2" t="n">
        <v>0.125</v>
      </c>
      <c r="AG22" s="2" t="n">
        <v>-1</v>
      </c>
      <c r="AH22" s="2" t="n">
        <v>2</v>
      </c>
      <c r="AI22" s="2" t="n">
        <v>8.225</v>
      </c>
      <c r="AJ22" s="2" t="n">
        <v>0.125</v>
      </c>
      <c r="AK22" s="2" t="n">
        <v>-1</v>
      </c>
      <c r="AL22" s="2" t="n">
        <v>2</v>
      </c>
      <c r="AM22" s="2" t="n">
        <v>8.225</v>
      </c>
      <c r="AN22" s="2" t="n">
        <v>0.125</v>
      </c>
      <c r="AO22" s="2" t="n">
        <v>-1</v>
      </c>
      <c r="AP22" s="2" t="n">
        <v>1</v>
      </c>
      <c r="AQ22" s="2" t="n">
        <v>8.225</v>
      </c>
      <c r="AR22" s="2" t="n">
        <v>0.125</v>
      </c>
      <c r="AS22" s="2" t="n">
        <v>-1</v>
      </c>
      <c r="AT22" s="2" t="n">
        <v>1</v>
      </c>
      <c r="AU22" s="2" t="n">
        <v>8.225</v>
      </c>
      <c r="AV22" s="2" t="n">
        <v>0.125</v>
      </c>
      <c r="AW22" s="2" t="n">
        <v>-1</v>
      </c>
      <c r="AX22" s="2" t="n">
        <v>1</v>
      </c>
      <c r="AY22" s="2" t="n">
        <v>8.225</v>
      </c>
      <c r="AZ22" s="2" t="n">
        <v>0.125</v>
      </c>
      <c r="BA22" s="2" t="n">
        <v>0.00122</v>
      </c>
    </row>
    <row r="23">
      <c r="A23" s="2" t="inlineStr">
        <is>
          <t>2026-10-13</t>
        </is>
      </c>
      <c r="B23" s="2" t="inlineStr">
        <is>
          <t>15:37</t>
        </is>
      </c>
      <c r="C23" s="2" t="inlineStr">
        <is>
          <t>GFR</t>
        </is>
      </c>
      <c r="D23" s="2" t="n">
        <v>6.73</v>
      </c>
      <c r="E23" s="2" t="inlineStr">
        <is>
          <t>2026-10-13 15:36:00-04:00</t>
        </is>
      </c>
      <c r="F23" s="2" t="n"/>
      <c r="G23" s="2" t="inlineStr">
        <is>
          <t>off</t>
        </is>
      </c>
      <c r="H23" s="2" t="n">
        <v>0.444</v>
      </c>
      <c r="I23" s="2" t="inlineStr">
        <is>
          <t>next open</t>
        </is>
      </c>
      <c r="J23" s="2" t="inlineStr">
        <is>
          <t>eod_squeeze</t>
        </is>
      </c>
      <c r="K23" s="2" t="n">
        <v>367</v>
      </c>
      <c r="L23" s="2" t="n">
        <v>0.0654574056569432</v>
      </c>
      <c r="M23" s="2" t="n">
        <v>0.0078863900148797</v>
      </c>
      <c r="N23" s="2" t="n">
        <v>1.498700262832116</v>
      </c>
      <c r="O23" s="2" t="n">
        <v>0.009098990004164901</v>
      </c>
      <c r="P23" s="2" t="n">
        <v>0.0037009791291449</v>
      </c>
      <c r="Q23" s="2" t="n">
        <v>-0.006617658092901</v>
      </c>
      <c r="R23" s="2" t="n">
        <v>0</v>
      </c>
      <c r="S23" s="2" t="n">
        <v>1.910282988353823</v>
      </c>
      <c r="T23" s="2" t="n">
        <v>0.0003085095451269</v>
      </c>
      <c r="U23" s="2" t="n">
        <v>1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1.7</v>
      </c>
      <c r="AD23" s="2" t="n">
        <v>1.5</v>
      </c>
      <c r="AE23" s="2" t="n">
        <v>6.755</v>
      </c>
      <c r="AF23" s="2" t="n">
        <v>0.025</v>
      </c>
      <c r="AG23" s="2" t="n">
        <v>2.4</v>
      </c>
      <c r="AH23" s="2" t="n">
        <v>2</v>
      </c>
      <c r="AI23" s="2" t="n">
        <v>6.755</v>
      </c>
      <c r="AJ23" s="2" t="n">
        <v>0.025</v>
      </c>
      <c r="AK23" s="2" t="n">
        <v>0.9</v>
      </c>
      <c r="AL23" s="2" t="n">
        <v>1.5</v>
      </c>
      <c r="AM23" s="2" t="n">
        <v>6.755</v>
      </c>
      <c r="AN23" s="2" t="n">
        <v>0.025</v>
      </c>
      <c r="AO23" s="2" t="n">
        <v>1.7</v>
      </c>
      <c r="AP23" s="2" t="n">
        <v>0.5</v>
      </c>
      <c r="AQ23" s="2" t="n">
        <v>6.755</v>
      </c>
      <c r="AR23" s="2" t="n">
        <v>0.025</v>
      </c>
      <c r="AS23" s="2" t="n">
        <v>2.4</v>
      </c>
      <c r="AT23" s="2" t="n">
        <v>1</v>
      </c>
      <c r="AU23" s="2" t="n">
        <v>6.755</v>
      </c>
      <c r="AV23" s="2" t="n">
        <v>0.025</v>
      </c>
      <c r="AW23" s="2" t="n">
        <v>0.9</v>
      </c>
      <c r="AX23" s="2" t="n">
        <v>0.5</v>
      </c>
      <c r="AY23" s="2" t="n">
        <v>6.755</v>
      </c>
      <c r="AZ23" s="2" t="n">
        <v>0.025</v>
      </c>
      <c r="BA23" s="2" t="n">
        <v>0.00148</v>
      </c>
    </row>
    <row r="24">
      <c r="A24" s="2" t="inlineStr">
        <is>
          <t>2026-10-14</t>
        </is>
      </c>
      <c r="B24" s="2" t="inlineStr">
        <is>
          <t>13:33</t>
        </is>
      </c>
      <c r="C24" s="2" t="inlineStr">
        <is>
          <t>MXCT</t>
        </is>
      </c>
      <c r="D24" s="2" t="n">
        <v>1.24</v>
      </c>
      <c r="E24" s="2" t="inlineStr">
        <is>
          <t>2026-10-14 13:32:00-04:00</t>
        </is>
      </c>
      <c r="F24" s="2" t="n"/>
      <c r="G24" s="2" t="inlineStr">
        <is>
          <t>off</t>
        </is>
      </c>
      <c r="H24" s="2" t="n">
        <v>-1.364</v>
      </c>
      <c r="I24" s="2" t="inlineStr">
        <is>
          <t>stop</t>
        </is>
      </c>
      <c r="J24" s="2" t="inlineStr">
        <is>
          <t>vwap_pullback</t>
        </is>
      </c>
      <c r="K24" s="2" t="n">
        <v>243</v>
      </c>
      <c r="L24" s="2" t="n">
        <v>0.3174273843527664</v>
      </c>
      <c r="M24" s="2" t="n">
        <v>0.2707469302989209</v>
      </c>
      <c r="N24" s="2" t="n">
        <v>3.998392262277589</v>
      </c>
      <c r="O24" s="2" t="n">
        <v>0.0049784209318419</v>
      </c>
      <c r="P24" s="2" t="n">
        <v>0.0236220325803686</v>
      </c>
      <c r="Q24" s="2" t="n">
        <v>-0.0451128271073669</v>
      </c>
      <c r="R24" s="2" t="n">
        <v>0</v>
      </c>
      <c r="S24" s="2" t="n">
        <v>0.2390168854520066</v>
      </c>
      <c r="T24" s="2" t="n">
        <v>-0.0122235056699204</v>
      </c>
      <c r="U24" s="2" t="n">
        <v>1</v>
      </c>
      <c r="V24" s="2" t="n">
        <v>1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1</v>
      </c>
      <c r="AC24" s="2" t="n">
        <v>-1</v>
      </c>
      <c r="AD24" s="2" t="n">
        <v>2</v>
      </c>
      <c r="AE24" s="2" t="n">
        <v>1.275</v>
      </c>
      <c r="AF24" s="2" t="n">
        <v>0.035</v>
      </c>
      <c r="AG24" s="2" t="n">
        <v>-1</v>
      </c>
      <c r="AH24" s="2" t="n">
        <v>2</v>
      </c>
      <c r="AI24" s="2" t="n">
        <v>1.275</v>
      </c>
      <c r="AJ24" s="2" t="n">
        <v>0.035</v>
      </c>
      <c r="AK24" s="2" t="n">
        <v>-1</v>
      </c>
      <c r="AL24" s="2" t="n">
        <v>2</v>
      </c>
      <c r="AM24" s="2" t="n">
        <v>1.275</v>
      </c>
      <c r="AN24" s="2" t="n">
        <v>0.035</v>
      </c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  <c r="BA24" s="2" t="n">
        <v>0.00784</v>
      </c>
    </row>
    <row r="25">
      <c r="A25" s="2" t="inlineStr">
        <is>
          <t>2026-10-14</t>
        </is>
      </c>
      <c r="B25" s="2" t="inlineStr">
        <is>
          <t>13:39</t>
        </is>
      </c>
      <c r="C25" s="2" t="inlineStr">
        <is>
          <t>GFS</t>
        </is>
      </c>
      <c r="D25" s="2" t="n">
        <v>48.7</v>
      </c>
      <c r="E25" s="2" t="inlineStr">
        <is>
          <t>2026-10-14 13:38:00-04:00</t>
        </is>
      </c>
      <c r="F25" s="2" t="n"/>
      <c r="G25" s="2" t="inlineStr">
        <is>
          <t>off</t>
        </is>
      </c>
      <c r="H25" s="2" t="n">
        <v>-1.368</v>
      </c>
      <c r="I25" s="2" t="inlineStr">
        <is>
          <t>stop</t>
        </is>
      </c>
      <c r="J25" s="2" t="inlineStr">
        <is>
          <t>vwap_pullback</t>
        </is>
      </c>
      <c r="K25" s="2" t="n">
        <v>249</v>
      </c>
      <c r="L25" s="2" t="n">
        <v>0.0456103004993004</v>
      </c>
      <c r="M25" s="2" t="n">
        <v>0.0246252182525501</v>
      </c>
      <c r="N25" s="2" t="n">
        <v>1.359333642620841</v>
      </c>
      <c r="O25" s="2" t="n">
        <v>0.0006247880014953</v>
      </c>
      <c r="P25" s="2" t="n">
        <v>0.0026623351664919</v>
      </c>
      <c r="Q25" s="2" t="n">
        <v>-0.0194778598567527</v>
      </c>
      <c r="R25" s="2" t="n">
        <v>0</v>
      </c>
      <c r="S25" s="2" t="n">
        <v>3.888344915572128</v>
      </c>
      <c r="T25" s="2" t="n">
        <v>-0.0124484228185076</v>
      </c>
      <c r="U25" s="2" t="n">
        <v>1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-1</v>
      </c>
      <c r="AD25" s="2" t="n">
        <v>2</v>
      </c>
      <c r="AE25" s="2" t="n">
        <v>48.82</v>
      </c>
      <c r="AF25" s="2" t="n">
        <v>0.12</v>
      </c>
      <c r="AG25" s="2" t="n">
        <v>-1</v>
      </c>
      <c r="AH25" s="2" t="n">
        <v>2</v>
      </c>
      <c r="AI25" s="2" t="n">
        <v>48.82</v>
      </c>
      <c r="AJ25" s="2" t="n">
        <v>0.12</v>
      </c>
      <c r="AK25" s="2" t="n">
        <v>-1</v>
      </c>
      <c r="AL25" s="2" t="n">
        <v>2</v>
      </c>
      <c r="AM25" s="2" t="n">
        <v>48.82</v>
      </c>
      <c r="AN25" s="2" t="n">
        <v>0.12</v>
      </c>
      <c r="AO25" s="2" t="n">
        <v>-1</v>
      </c>
      <c r="AP25" s="2" t="n">
        <v>1</v>
      </c>
      <c r="AQ25" s="2" t="n">
        <v>48.82</v>
      </c>
      <c r="AR25" s="2" t="n">
        <v>0.12</v>
      </c>
      <c r="AS25" s="2" t="n">
        <v>-1</v>
      </c>
      <c r="AT25" s="2" t="n">
        <v>1</v>
      </c>
      <c r="AU25" s="2" t="n">
        <v>48.82</v>
      </c>
      <c r="AV25" s="2" t="n">
        <v>0.12</v>
      </c>
      <c r="AW25" s="2" t="n">
        <v>-1</v>
      </c>
      <c r="AX25" s="2" t="n">
        <v>1</v>
      </c>
      <c r="AY25" s="2" t="n">
        <v>48.82</v>
      </c>
      <c r="AZ25" s="2" t="n">
        <v>0.12</v>
      </c>
      <c r="BA25" s="2" t="n">
        <v>0.00061</v>
      </c>
    </row>
    <row r="26">
      <c r="A26" s="2" t="inlineStr">
        <is>
          <t>2026-10-14</t>
        </is>
      </c>
      <c r="B26" s="2" t="inlineStr">
        <is>
          <t>13:39</t>
        </is>
      </c>
      <c r="C26" s="2" t="inlineStr">
        <is>
          <t>IBRX</t>
        </is>
      </c>
      <c r="D26" s="2" t="n">
        <v>10.23</v>
      </c>
      <c r="E26" s="2" t="inlineStr">
        <is>
          <t>2026-10-14 13:38:00-04:00</t>
        </is>
      </c>
      <c r="F26" s="2" t="n"/>
      <c r="G26" s="2" t="inlineStr">
        <is>
          <t>off</t>
        </is>
      </c>
      <c r="H26" s="2" t="n">
        <v>-1.174</v>
      </c>
      <c r="I26" s="2" t="inlineStr">
        <is>
          <t>stop</t>
        </is>
      </c>
      <c r="J26" s="2" t="inlineStr">
        <is>
          <t>ema_bounce</t>
        </is>
      </c>
      <c r="K26" s="2" t="n">
        <v>249</v>
      </c>
      <c r="L26" s="2" t="n">
        <v>0.0535713886033002</v>
      </c>
      <c r="M26" s="2" t="n">
        <v>-0.0112245518582294</v>
      </c>
      <c r="N26" s="2" t="n">
        <v>1.062099175402153</v>
      </c>
      <c r="O26" s="2" t="n">
        <v>0.0488767111425205</v>
      </c>
      <c r="P26" s="2" t="n">
        <v>0.0092009502198623</v>
      </c>
      <c r="Q26" s="2" t="n">
        <v>-0.0110059085437701</v>
      </c>
      <c r="R26" s="2" t="n">
        <v>0</v>
      </c>
      <c r="S26" s="2" t="n">
        <v>2.334568120373986</v>
      </c>
      <c r="T26" s="2" t="n">
        <v>-0.0124484228185076</v>
      </c>
      <c r="U26" s="2" t="n">
        <v>1</v>
      </c>
      <c r="V26" s="2" t="n">
        <v>0</v>
      </c>
      <c r="W26" s="2" t="n">
        <v>1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0.5</v>
      </c>
      <c r="AD26" s="2" t="n">
        <v>1.5</v>
      </c>
      <c r="AE26" s="2" t="n">
        <v>10.325</v>
      </c>
      <c r="AF26" s="2" t="n">
        <v>0.095</v>
      </c>
      <c r="AG26" s="2" t="n">
        <v>-1</v>
      </c>
      <c r="AH26" s="2" t="n">
        <v>2</v>
      </c>
      <c r="AI26" s="2" t="n">
        <v>10.325</v>
      </c>
      <c r="AJ26" s="2" t="n">
        <v>0.095</v>
      </c>
      <c r="AK26" s="2" t="n">
        <v>0.5</v>
      </c>
      <c r="AL26" s="2" t="n">
        <v>1.5</v>
      </c>
      <c r="AM26" s="2" t="n">
        <v>10.325</v>
      </c>
      <c r="AN26" s="2" t="n">
        <v>0.095</v>
      </c>
      <c r="AO26" s="2" t="n">
        <v>0.5</v>
      </c>
      <c r="AP26" s="2" t="n">
        <v>0.5</v>
      </c>
      <c r="AQ26" s="2" t="n">
        <v>10.325</v>
      </c>
      <c r="AR26" s="2" t="n">
        <v>0.095</v>
      </c>
      <c r="AS26" s="2" t="n">
        <v>-1</v>
      </c>
      <c r="AT26" s="2" t="n">
        <v>1</v>
      </c>
      <c r="AU26" s="2" t="n">
        <v>10.325</v>
      </c>
      <c r="AV26" s="2" t="n">
        <v>0.095</v>
      </c>
      <c r="AW26" s="2" t="n">
        <v>0.5</v>
      </c>
      <c r="AX26" s="2" t="n">
        <v>0.5</v>
      </c>
      <c r="AY26" s="2" t="n">
        <v>10.325</v>
      </c>
      <c r="AZ26" s="2" t="n">
        <v>0.095</v>
      </c>
      <c r="BA26" s="2" t="n">
        <v>0.0009700000000000001</v>
      </c>
    </row>
    <row r="27">
      <c r="A27" s="2" t="inlineStr">
        <is>
          <t>2026-10-14</t>
        </is>
      </c>
      <c r="B27" s="2" t="inlineStr">
        <is>
          <t>13:42</t>
        </is>
      </c>
      <c r="C27" s="2" t="inlineStr">
        <is>
          <t>MXCT</t>
        </is>
      </c>
      <c r="D27" s="2" t="n">
        <v>1.25</v>
      </c>
      <c r="E27" s="2" t="inlineStr">
        <is>
          <t>2026-10-14 13:41:00-04:00</t>
        </is>
      </c>
      <c r="F27" s="2" t="n"/>
      <c r="G27" s="2" t="inlineStr">
        <is>
          <t>off</t>
        </is>
      </c>
      <c r="H27" s="2" t="n">
        <v>-1.444</v>
      </c>
      <c r="I27" s="2" t="inlineStr">
        <is>
          <t>stop</t>
        </is>
      </c>
      <c r="J27" s="2" t="inlineStr">
        <is>
          <t>ema_bounce</t>
        </is>
      </c>
      <c r="K27" s="2" t="n">
        <v>252</v>
      </c>
      <c r="L27" s="2" t="n">
        <v>0.3268671773539939</v>
      </c>
      <c r="M27" s="2" t="n">
        <v>0.2707469302989209</v>
      </c>
      <c r="N27" s="2" t="n">
        <v>3.967763547844457</v>
      </c>
      <c r="O27" s="2" t="n">
        <v>0.0121365157692752</v>
      </c>
      <c r="P27" s="2" t="n">
        <v>0.0227503264718634</v>
      </c>
      <c r="Q27" s="2" t="n">
        <v>-0.0382707518941952</v>
      </c>
      <c r="R27" s="2" t="n">
        <v>0</v>
      </c>
      <c r="S27" s="2" t="n">
        <v>0.2461566596953398</v>
      </c>
      <c r="T27" s="2" t="n">
        <v>-0.0128533050661038</v>
      </c>
      <c r="U27" s="2" t="n">
        <v>1</v>
      </c>
      <c r="V27" s="2" t="n">
        <v>1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-1</v>
      </c>
      <c r="AD27" s="2" t="n">
        <v>2</v>
      </c>
      <c r="AE27" s="2" t="n">
        <v>1.275</v>
      </c>
      <c r="AF27" s="2" t="n">
        <v>0.025</v>
      </c>
      <c r="AG27" s="2" t="n">
        <v>-1</v>
      </c>
      <c r="AH27" s="2" t="n">
        <v>2</v>
      </c>
      <c r="AI27" s="2" t="n">
        <v>1.275</v>
      </c>
      <c r="AJ27" s="2" t="n">
        <v>0.025</v>
      </c>
      <c r="AK27" s="2" t="n">
        <v>-1</v>
      </c>
      <c r="AL27" s="2" t="n">
        <v>2</v>
      </c>
      <c r="AM27" s="2" t="n">
        <v>1.275</v>
      </c>
      <c r="AN27" s="2" t="n">
        <v>0.025</v>
      </c>
      <c r="AO27" s="2" t="n">
        <v>-1</v>
      </c>
      <c r="AP27" s="2" t="n">
        <v>1</v>
      </c>
      <c r="AQ27" s="2" t="n">
        <v>1.275</v>
      </c>
      <c r="AR27" s="2" t="n">
        <v>0.025</v>
      </c>
      <c r="AS27" s="2" t="n">
        <v>-1</v>
      </c>
      <c r="AT27" s="2" t="n">
        <v>1</v>
      </c>
      <c r="AU27" s="2" t="n">
        <v>1.275</v>
      </c>
      <c r="AV27" s="2" t="n">
        <v>0.025</v>
      </c>
      <c r="AW27" s="2" t="n">
        <v>-1</v>
      </c>
      <c r="AX27" s="2" t="n">
        <v>1</v>
      </c>
      <c r="AY27" s="2" t="n">
        <v>1.275</v>
      </c>
      <c r="AZ27" s="2" t="n">
        <v>0.025</v>
      </c>
      <c r="BA27" s="2" t="n">
        <v>0.00784</v>
      </c>
    </row>
    <row r="28">
      <c r="A28" s="2" t="inlineStr">
        <is>
          <t>2026-10-14</t>
        </is>
      </c>
      <c r="B28" s="2" t="inlineStr">
        <is>
          <t>13:45</t>
        </is>
      </c>
      <c r="C28" s="2" t="inlineStr">
        <is>
          <t>IBRX</t>
        </is>
      </c>
      <c r="D28" s="2" t="n">
        <v>10.23</v>
      </c>
      <c r="E28" s="2" t="inlineStr">
        <is>
          <t>2026-10-14 13:44:00-04:00</t>
        </is>
      </c>
      <c r="F28" s="2" t="n"/>
      <c r="G28" s="2" t="inlineStr">
        <is>
          <t>off</t>
        </is>
      </c>
      <c r="H28" s="2" t="n">
        <v>-1.118</v>
      </c>
      <c r="I28" s="2" t="inlineStr">
        <is>
          <t>stop</t>
        </is>
      </c>
      <c r="J28" s="2" t="inlineStr">
        <is>
          <t>bull_flag</t>
        </is>
      </c>
      <c r="K28" s="2" t="n">
        <v>255</v>
      </c>
      <c r="L28" s="2" t="n">
        <v>0.0602040960311092</v>
      </c>
      <c r="M28" s="2" t="n">
        <v>-0.0112245518582294</v>
      </c>
      <c r="N28" s="2" t="n">
        <v>1.060583449946848</v>
      </c>
      <c r="O28" s="2" t="n">
        <v>0.0543389980682877</v>
      </c>
      <c r="P28" s="2" t="n">
        <v>0.0153994550563782</v>
      </c>
      <c r="Q28" s="2" t="n">
        <v>-0.0047797443489004</v>
      </c>
      <c r="R28" s="2" t="n">
        <v>0</v>
      </c>
      <c r="S28" s="2" t="n">
        <v>2.340843838154711</v>
      </c>
      <c r="T28" s="2" t="n">
        <v>-0.0125191065823293</v>
      </c>
      <c r="U28" s="2" t="n">
        <v>1</v>
      </c>
      <c r="V28" s="2" t="n">
        <v>0</v>
      </c>
      <c r="W28" s="2" t="n">
        <v>1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-1</v>
      </c>
      <c r="AD28" s="2" t="n">
        <v>2</v>
      </c>
      <c r="AE28" s="2" t="n">
        <v>10.38</v>
      </c>
      <c r="AF28" s="2" t="n">
        <v>0.15</v>
      </c>
      <c r="AG28" s="2" t="n">
        <v>-1</v>
      </c>
      <c r="AH28" s="2" t="n">
        <v>2</v>
      </c>
      <c r="AI28" s="2" t="n">
        <v>10.38</v>
      </c>
      <c r="AJ28" s="2" t="n">
        <v>0.15</v>
      </c>
      <c r="AK28" s="2" t="n">
        <v>-1</v>
      </c>
      <c r="AL28" s="2" t="n">
        <v>2</v>
      </c>
      <c r="AM28" s="2" t="n">
        <v>10.38</v>
      </c>
      <c r="AN28" s="2" t="n">
        <v>0.15</v>
      </c>
      <c r="AO28" s="2" t="n">
        <v>-1</v>
      </c>
      <c r="AP28" s="2" t="n">
        <v>1</v>
      </c>
      <c r="AQ28" s="2" t="n">
        <v>10.38</v>
      </c>
      <c r="AR28" s="2" t="n">
        <v>0.15</v>
      </c>
      <c r="AS28" s="2" t="n">
        <v>-1</v>
      </c>
      <c r="AT28" s="2" t="n">
        <v>1</v>
      </c>
      <c r="AU28" s="2" t="n">
        <v>10.38</v>
      </c>
      <c r="AV28" s="2" t="n">
        <v>0.15</v>
      </c>
      <c r="AW28" s="2" t="n">
        <v>-1</v>
      </c>
      <c r="AX28" s="2" t="n">
        <v>1</v>
      </c>
      <c r="AY28" s="2" t="n">
        <v>10.38</v>
      </c>
      <c r="AZ28" s="2" t="n">
        <v>0.15</v>
      </c>
      <c r="BA28" s="2" t="n">
        <v>0.00096</v>
      </c>
    </row>
    <row r="29">
      <c r="A29" s="2" t="inlineStr">
        <is>
          <t>2026-10-14</t>
        </is>
      </c>
      <c r="B29" s="2" t="inlineStr">
        <is>
          <t>14:13</t>
        </is>
      </c>
      <c r="C29" s="2" t="inlineStr">
        <is>
          <t>CANG</t>
        </is>
      </c>
      <c r="D29" s="2" t="n">
        <v>3.75</v>
      </c>
      <c r="E29" s="2" t="inlineStr">
        <is>
          <t>2026-10-14 14:12:00-04:00</t>
        </is>
      </c>
      <c r="F29" s="2" t="n"/>
      <c r="G29" s="2" t="inlineStr">
        <is>
          <t>off</t>
        </is>
      </c>
      <c r="H29" s="2" t="n">
        <v>-1.29</v>
      </c>
      <c r="I29" s="2" t="inlineStr">
        <is>
          <t>stop</t>
        </is>
      </c>
      <c r="J29" s="2" t="inlineStr">
        <is>
          <t>ema_bounce</t>
        </is>
      </c>
      <c r="K29" s="2" t="n">
        <v>283</v>
      </c>
      <c r="L29" s="2" t="n">
        <v>0.0857142720903669</v>
      </c>
      <c r="M29" s="2" t="n">
        <v>0.0171428407941545</v>
      </c>
      <c r="N29" s="2" t="n">
        <v>2.806767859017679</v>
      </c>
      <c r="O29" s="2" t="n">
        <v>0.025434212595651</v>
      </c>
      <c r="P29" s="2" t="n">
        <v>0.0131578823536055</v>
      </c>
      <c r="Q29" s="2" t="n">
        <v>-0.0142672027198642</v>
      </c>
      <c r="R29" s="2" t="n">
        <v>0</v>
      </c>
      <c r="S29" s="2" t="n">
        <v>1.335001054183994</v>
      </c>
      <c r="T29" s="2" t="n">
        <v>-0.0132324555994564</v>
      </c>
      <c r="U29" s="2" t="n">
        <v>1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0.5</v>
      </c>
      <c r="AD29" s="2" t="n">
        <v>1.5</v>
      </c>
      <c r="AE29" s="2" t="n">
        <v>3.799</v>
      </c>
      <c r="AF29" s="2" t="n">
        <v>0.049</v>
      </c>
      <c r="AG29" s="2" t="n">
        <v>-1</v>
      </c>
      <c r="AH29" s="2" t="n">
        <v>2</v>
      </c>
      <c r="AI29" s="2" t="n">
        <v>3.799</v>
      </c>
      <c r="AJ29" s="2" t="n">
        <v>0.049</v>
      </c>
      <c r="AK29" s="2" t="n">
        <v>0.6122</v>
      </c>
      <c r="AL29" s="2" t="n">
        <v>1.5</v>
      </c>
      <c r="AM29" s="2" t="n">
        <v>3.799</v>
      </c>
      <c r="AN29" s="2" t="n">
        <v>0.049</v>
      </c>
      <c r="AO29" s="2" t="n">
        <v>0.5</v>
      </c>
      <c r="AP29" s="2" t="n">
        <v>0.5</v>
      </c>
      <c r="AQ29" s="2" t="n">
        <v>3.799</v>
      </c>
      <c r="AR29" s="2" t="n">
        <v>0.049</v>
      </c>
      <c r="AS29" s="2" t="n">
        <v>-1</v>
      </c>
      <c r="AT29" s="2" t="n">
        <v>1</v>
      </c>
      <c r="AU29" s="2" t="n">
        <v>3.799</v>
      </c>
      <c r="AV29" s="2" t="n">
        <v>0.049</v>
      </c>
      <c r="AW29" s="2" t="n">
        <v>0.6122</v>
      </c>
      <c r="AX29" s="2" t="n">
        <v>0.5</v>
      </c>
      <c r="AY29" s="2" t="n">
        <v>3.799</v>
      </c>
      <c r="AZ29" s="2" t="n">
        <v>0.049</v>
      </c>
      <c r="BA29" s="2" t="n">
        <v>0.00528</v>
      </c>
    </row>
    <row r="30">
      <c r="A30" s="2" t="inlineStr">
        <is>
          <t>2026-10-14</t>
        </is>
      </c>
      <c r="B30" s="2" t="inlineStr">
        <is>
          <t>14:21</t>
        </is>
      </c>
      <c r="C30" s="2" t="inlineStr">
        <is>
          <t>GFS</t>
        </is>
      </c>
      <c r="D30" s="2" t="n">
        <v>48.43</v>
      </c>
      <c r="E30" s="2" t="inlineStr">
        <is>
          <t>2026-10-14 14:20:00-04:00</t>
        </is>
      </c>
      <c r="F30" s="2" t="n"/>
      <c r="G30" s="2" t="inlineStr">
        <is>
          <t>off</t>
        </is>
      </c>
      <c r="H30" s="2" t="n">
        <v>-1.146</v>
      </c>
      <c r="I30" s="2" t="inlineStr">
        <is>
          <t>stop</t>
        </is>
      </c>
      <c r="J30" s="2" t="inlineStr">
        <is>
          <t>ema_bounce</t>
        </is>
      </c>
      <c r="K30" s="2" t="n">
        <v>291</v>
      </c>
      <c r="L30" s="2" t="n">
        <v>0.0458243973166423</v>
      </c>
      <c r="M30" s="2" t="n">
        <v>0.0246252182525501</v>
      </c>
      <c r="N30" s="2" t="n">
        <v>1.319878607715998</v>
      </c>
      <c r="O30" s="2" t="n">
        <v>0.0014688340818449</v>
      </c>
      <c r="P30" s="2" t="n">
        <v>0.0083947614927713</v>
      </c>
      <c r="Q30" s="2" t="n">
        <v>-0.019277090344978</v>
      </c>
      <c r="R30" s="2" t="n">
        <v>0</v>
      </c>
      <c r="S30" s="2" t="n">
        <v>3.888549652366744</v>
      </c>
      <c r="T30" s="2" t="n">
        <v>-0.0125191065823293</v>
      </c>
      <c r="U30" s="2" t="n">
        <v>1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-1</v>
      </c>
      <c r="AD30" s="2" t="n">
        <v>2</v>
      </c>
      <c r="AE30" s="2" t="n">
        <v>48.84</v>
      </c>
      <c r="AF30" s="2" t="n">
        <v>0.41</v>
      </c>
      <c r="AG30" s="2" t="n">
        <v>-1</v>
      </c>
      <c r="AH30" s="2" t="n">
        <v>2</v>
      </c>
      <c r="AI30" s="2" t="n">
        <v>48.84</v>
      </c>
      <c r="AJ30" s="2" t="n">
        <v>0.41</v>
      </c>
      <c r="AK30" s="2" t="n">
        <v>-1</v>
      </c>
      <c r="AL30" s="2" t="n">
        <v>2</v>
      </c>
      <c r="AM30" s="2" t="n">
        <v>48.84</v>
      </c>
      <c r="AN30" s="2" t="n">
        <v>0.41</v>
      </c>
      <c r="AO30" s="2" t="n">
        <v>-1</v>
      </c>
      <c r="AP30" s="2" t="n">
        <v>1</v>
      </c>
      <c r="AQ30" s="2" t="n">
        <v>48.84</v>
      </c>
      <c r="AR30" s="2" t="n">
        <v>0.41</v>
      </c>
      <c r="AS30" s="2" t="n">
        <v>-1</v>
      </c>
      <c r="AT30" s="2" t="n">
        <v>1</v>
      </c>
      <c r="AU30" s="2" t="n">
        <v>48.84</v>
      </c>
      <c r="AV30" s="2" t="n">
        <v>0.41</v>
      </c>
      <c r="AW30" s="2" t="n">
        <v>-1</v>
      </c>
      <c r="AX30" s="2" t="n">
        <v>1</v>
      </c>
      <c r="AY30" s="2" t="n">
        <v>48.84</v>
      </c>
      <c r="AZ30" s="2" t="n">
        <v>0.41</v>
      </c>
      <c r="BA30" s="2" t="n">
        <v>0.00041</v>
      </c>
    </row>
    <row r="31">
      <c r="A31" s="2" t="inlineStr">
        <is>
          <t>2026-10-14</t>
        </is>
      </c>
      <c r="B31" s="2" t="inlineStr">
        <is>
          <t>14:29</t>
        </is>
      </c>
      <c r="C31" s="2" t="inlineStr">
        <is>
          <t>BSP</t>
        </is>
      </c>
      <c r="D31" s="2" t="n">
        <v>53.11</v>
      </c>
      <c r="E31" s="2" t="inlineStr">
        <is>
          <t>2026-10-14 14:28:00-04:00</t>
        </is>
      </c>
      <c r="F31" s="2" t="n"/>
      <c r="G31" s="2" t="inlineStr">
        <is>
          <t>off</t>
        </is>
      </c>
      <c r="H31" s="2" t="n">
        <v>0.382</v>
      </c>
      <c r="I31" s="2" t="inlineStr">
        <is>
          <t>breakeven</t>
        </is>
      </c>
      <c r="J31" s="2" t="inlineStr">
        <is>
          <t>vwap_pullback</t>
        </is>
      </c>
      <c r="K31" s="2" t="n">
        <v>299</v>
      </c>
      <c r="L31" s="2" t="n">
        <v>0.4125726011640367</v>
      </c>
      <c r="M31" s="2" t="n">
        <v>0.3280506595012964</v>
      </c>
      <c r="N31" s="2" t="n">
        <v>1.988852292756681</v>
      </c>
      <c r="O31" s="2" t="n">
        <v>0.0043796192014877</v>
      </c>
      <c r="P31" s="2" t="n">
        <v>0.0069184656956497</v>
      </c>
      <c r="Q31" s="2" t="n">
        <v>-0.0867486631134482</v>
      </c>
      <c r="R31" s="2" t="n">
        <v>0</v>
      </c>
      <c r="S31" s="2" t="n">
        <v>3.979307743674213</v>
      </c>
      <c r="T31" s="2" t="n">
        <v>-0.0127376692527039</v>
      </c>
      <c r="U31" s="2" t="n">
        <v>1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1.5</v>
      </c>
      <c r="AD31" s="2" t="n">
        <v>1</v>
      </c>
      <c r="AE31" s="2" t="n">
        <v>53.37</v>
      </c>
      <c r="AF31" s="2" t="n">
        <v>0.26</v>
      </c>
      <c r="AG31" s="2" t="n">
        <v>-1</v>
      </c>
      <c r="AH31" s="2" t="n">
        <v>2</v>
      </c>
      <c r="AI31" s="2" t="n">
        <v>53.37</v>
      </c>
      <c r="AJ31" s="2" t="n">
        <v>0.26</v>
      </c>
      <c r="AK31" s="2" t="n">
        <v>0.8817</v>
      </c>
      <c r="AL31" s="2" t="n">
        <v>1.5</v>
      </c>
      <c r="AM31" s="2" t="n">
        <v>53.37</v>
      </c>
      <c r="AN31" s="2" t="n">
        <v>0.26</v>
      </c>
      <c r="AO31" s="2" t="n">
        <v>1.5</v>
      </c>
      <c r="AP31" s="2" t="n">
        <v>0</v>
      </c>
      <c r="AQ31" s="2" t="n">
        <v>53.37</v>
      </c>
      <c r="AR31" s="2" t="n">
        <v>0.26</v>
      </c>
      <c r="AS31" s="2" t="n">
        <v>-1</v>
      </c>
      <c r="AT31" s="2" t="n">
        <v>1</v>
      </c>
      <c r="AU31" s="2" t="n">
        <v>53.37</v>
      </c>
      <c r="AV31" s="2" t="n">
        <v>0.26</v>
      </c>
      <c r="AW31" s="2" t="n">
        <v>0.8817</v>
      </c>
      <c r="AX31" s="2" t="n">
        <v>0.5</v>
      </c>
      <c r="AY31" s="2" t="n">
        <v>53.37</v>
      </c>
      <c r="AZ31" s="2" t="n">
        <v>0.26</v>
      </c>
      <c r="BA31" s="2" t="n">
        <v>0.00299</v>
      </c>
    </row>
    <row r="32">
      <c r="A32" s="2" t="inlineStr">
        <is>
          <t>2026-10-14</t>
        </is>
      </c>
      <c r="B32" s="2" t="inlineStr">
        <is>
          <t>14:57</t>
        </is>
      </c>
      <c r="C32" s="2" t="inlineStr">
        <is>
          <t>BSP</t>
        </is>
      </c>
      <c r="D32" s="2" t="n">
        <v>52.74</v>
      </c>
      <c r="E32" s="2" t="inlineStr">
        <is>
          <t>2026-10-14 14:56:00-04:00</t>
        </is>
      </c>
      <c r="F32" s="2" t="n"/>
      <c r="G32" s="2" t="inlineStr">
        <is>
          <t>off</t>
        </is>
      </c>
      <c r="H32" s="2" t="n">
        <v>-1.136</v>
      </c>
      <c r="I32" s="2" t="inlineStr">
        <is>
          <t>stop</t>
        </is>
      </c>
      <c r="J32" s="2" t="inlineStr">
        <is>
          <t>ema_bounce</t>
        </is>
      </c>
      <c r="K32" s="2" t="n">
        <v>327</v>
      </c>
      <c r="L32" s="2" t="n">
        <v>0.4094030573196039</v>
      </c>
      <c r="M32" s="2" t="n">
        <v>0.3280506595012964</v>
      </c>
      <c r="N32" s="2" t="n">
        <v>1.946982379034813</v>
      </c>
      <c r="O32" s="2" t="n">
        <v>0.0023349322002463</v>
      </c>
      <c r="P32" s="2" t="n">
        <v>0.0116192017102654</v>
      </c>
      <c r="Q32" s="2" t="n">
        <v>-0.0887978251535894</v>
      </c>
      <c r="R32" s="2" t="n">
        <v>0</v>
      </c>
      <c r="S32" s="2" t="n">
        <v>3.977061413045741</v>
      </c>
      <c r="T32" s="2" t="n">
        <v>-0.0128597379946647</v>
      </c>
      <c r="U32" s="2" t="n">
        <v>1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-1</v>
      </c>
      <c r="AD32" s="2" t="n">
        <v>2</v>
      </c>
      <c r="AE32" s="2" t="n">
        <v>53.25</v>
      </c>
      <c r="AF32" s="2" t="n">
        <v>0.51</v>
      </c>
      <c r="AG32" s="2" t="n">
        <v>-1</v>
      </c>
      <c r="AH32" s="2" t="n">
        <v>2</v>
      </c>
      <c r="AI32" s="2" t="n">
        <v>53.25</v>
      </c>
      <c r="AJ32" s="2" t="n">
        <v>0.51</v>
      </c>
      <c r="AK32" s="2" t="n">
        <v>-1</v>
      </c>
      <c r="AL32" s="2" t="n">
        <v>2</v>
      </c>
      <c r="AM32" s="2" t="n">
        <v>53.25</v>
      </c>
      <c r="AN32" s="2" t="n">
        <v>0.51</v>
      </c>
      <c r="AO32" s="2" t="n">
        <v>-1</v>
      </c>
      <c r="AP32" s="2" t="n">
        <v>1</v>
      </c>
      <c r="AQ32" s="2" t="n">
        <v>53.25</v>
      </c>
      <c r="AR32" s="2" t="n">
        <v>0.51</v>
      </c>
      <c r="AS32" s="2" t="n">
        <v>-1</v>
      </c>
      <c r="AT32" s="2" t="n">
        <v>1</v>
      </c>
      <c r="AU32" s="2" t="n">
        <v>53.25</v>
      </c>
      <c r="AV32" s="2" t="n">
        <v>0.51</v>
      </c>
      <c r="AW32" s="2" t="n">
        <v>-1</v>
      </c>
      <c r="AX32" s="2" t="n">
        <v>1</v>
      </c>
      <c r="AY32" s="2" t="n">
        <v>53.25</v>
      </c>
      <c r="AZ32" s="2" t="n">
        <v>0.51</v>
      </c>
      <c r="BA32" s="2" t="n">
        <v>0.00281</v>
      </c>
    </row>
    <row r="33">
      <c r="A33" s="2" t="inlineStr">
        <is>
          <t>2026-10-14</t>
        </is>
      </c>
      <c r="B33" s="2" t="inlineStr">
        <is>
          <t>15:42</t>
        </is>
      </c>
      <c r="C33" s="2" t="inlineStr">
        <is>
          <t>CANG</t>
        </is>
      </c>
      <c r="D33" s="2" t="n">
        <v>3.75</v>
      </c>
      <c r="E33" s="2" t="inlineStr">
        <is>
          <t>2026-10-14 15:41:00-04:00</t>
        </is>
      </c>
      <c r="F33" s="2" t="n"/>
      <c r="G33" s="2" t="inlineStr">
        <is>
          <t>off</t>
        </is>
      </c>
      <c r="H33" s="2" t="n">
        <v>-1.333</v>
      </c>
      <c r="I33" s="2" t="inlineStr">
        <is>
          <t>stop</t>
        </is>
      </c>
      <c r="J33" s="2" t="inlineStr">
        <is>
          <t>eod_squeeze</t>
        </is>
      </c>
      <c r="K33" s="2" t="n">
        <v>372</v>
      </c>
      <c r="L33" s="2" t="n">
        <v>0.0954571451459611</v>
      </c>
      <c r="M33" s="2" t="n">
        <v>0.0171428407941545</v>
      </c>
      <c r="N33" s="2" t="n">
        <v>3.058768267329295</v>
      </c>
      <c r="O33" s="2" t="n">
        <v>0.0249810786014439</v>
      </c>
      <c r="P33" s="2" t="n">
        <v>0.0219347455296283</v>
      </c>
      <c r="Q33" s="2" t="n">
        <v>-0.006709815489339</v>
      </c>
      <c r="R33" s="2" t="n">
        <v>0</v>
      </c>
      <c r="S33" s="2" t="n">
        <v>1.343934728793134</v>
      </c>
      <c r="T33" s="2" t="n">
        <v>-0.0117864587795196</v>
      </c>
      <c r="U33" s="2" t="n">
        <v>1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-1</v>
      </c>
      <c r="AD33" s="2" t="n">
        <v>2</v>
      </c>
      <c r="AE33" s="2" t="n">
        <v>3.79</v>
      </c>
      <c r="AF33" s="2" t="n">
        <v>0.04</v>
      </c>
      <c r="AG33" s="2" t="n">
        <v>-1</v>
      </c>
      <c r="AH33" s="2" t="n">
        <v>2</v>
      </c>
      <c r="AI33" s="2" t="n">
        <v>3.79</v>
      </c>
      <c r="AJ33" s="2" t="n">
        <v>0.04</v>
      </c>
      <c r="AK33" s="2" t="n">
        <v>-1</v>
      </c>
      <c r="AL33" s="2" t="n">
        <v>2</v>
      </c>
      <c r="AM33" s="2" t="n">
        <v>3.79</v>
      </c>
      <c r="AN33" s="2" t="n">
        <v>0.04</v>
      </c>
      <c r="AO33" s="2" t="n">
        <v>-1</v>
      </c>
      <c r="AP33" s="2" t="n">
        <v>1</v>
      </c>
      <c r="AQ33" s="2" t="n">
        <v>3.79</v>
      </c>
      <c r="AR33" s="2" t="n">
        <v>0.04</v>
      </c>
      <c r="AS33" s="2" t="n">
        <v>-1</v>
      </c>
      <c r="AT33" s="2" t="n">
        <v>1</v>
      </c>
      <c r="AU33" s="2" t="n">
        <v>3.79</v>
      </c>
      <c r="AV33" s="2" t="n">
        <v>0.04</v>
      </c>
      <c r="AW33" s="2" t="n">
        <v>-1</v>
      </c>
      <c r="AX33" s="2" t="n">
        <v>1</v>
      </c>
      <c r="AY33" s="2" t="n">
        <v>3.79</v>
      </c>
      <c r="AZ33" s="2" t="n">
        <v>0.04</v>
      </c>
      <c r="BA33" s="2" t="n">
        <v>0.0105</v>
      </c>
    </row>
    <row r="34">
      <c r="A34" s="2" t="inlineStr">
        <is>
          <t>2026-10-14</t>
        </is>
      </c>
      <c r="B34" s="2" t="inlineStr">
        <is>
          <t>15:45</t>
        </is>
      </c>
      <c r="C34" s="2" t="inlineStr">
        <is>
          <t>GFS</t>
        </is>
      </c>
      <c r="D34" s="2" t="n">
        <v>48.5</v>
      </c>
      <c r="E34" s="2" t="inlineStr">
        <is>
          <t>2026-10-14 15:44:00-04:00</t>
        </is>
      </c>
      <c r="F34" s="2" t="n"/>
      <c r="G34" s="2" t="inlineStr">
        <is>
          <t>off</t>
        </is>
      </c>
      <c r="H34" s="2" t="n">
        <v>-3.076</v>
      </c>
      <c r="I34" s="2" t="inlineStr">
        <is>
          <t>next open</t>
        </is>
      </c>
      <c r="J34" s="2" t="inlineStr">
        <is>
          <t>eod_squeeze</t>
        </is>
      </c>
      <c r="K34" s="2" t="n">
        <v>375</v>
      </c>
      <c r="L34" s="2" t="n">
        <v>0.0558864576207154</v>
      </c>
      <c r="M34" s="2" t="n">
        <v>0.0246252182525501</v>
      </c>
      <c r="N34" s="2" t="n">
        <v>1.275905382580093</v>
      </c>
      <c r="O34" s="2" t="n">
        <v>0.0110446447468701</v>
      </c>
      <c r="P34" s="2" t="n">
        <v>0.0164246612370103</v>
      </c>
      <c r="Q34" s="2" t="n">
        <v>-0.009841382893656299</v>
      </c>
      <c r="R34" s="2" t="n">
        <v>0</v>
      </c>
      <c r="S34" s="2" t="n">
        <v>3.898124839322632</v>
      </c>
      <c r="T34" s="2" t="n">
        <v>-0.0116450912518761</v>
      </c>
      <c r="U34" s="2" t="n">
        <v>1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-3.1683</v>
      </c>
      <c r="AD34" s="2" t="n">
        <v>2</v>
      </c>
      <c r="AE34" s="2" t="n">
        <v>49.32</v>
      </c>
      <c r="AF34" s="2" t="n">
        <v>0.82</v>
      </c>
      <c r="AG34" s="2" t="n">
        <v>-3.1683</v>
      </c>
      <c r="AH34" s="2" t="n">
        <v>2</v>
      </c>
      <c r="AI34" s="2" t="n">
        <v>49.32</v>
      </c>
      <c r="AJ34" s="2" t="n">
        <v>0.82</v>
      </c>
      <c r="AK34" s="2" t="n">
        <v>-3.1683</v>
      </c>
      <c r="AL34" s="2" t="n">
        <v>2</v>
      </c>
      <c r="AM34" s="2" t="n">
        <v>49.32</v>
      </c>
      <c r="AN34" s="2" t="n">
        <v>0.82</v>
      </c>
      <c r="AO34" s="2" t="n">
        <v>-3.1953</v>
      </c>
      <c r="AP34" s="2" t="n">
        <v>1</v>
      </c>
      <c r="AQ34" s="2" t="n">
        <v>49.3099</v>
      </c>
      <c r="AR34" s="2" t="n">
        <v>0.8099</v>
      </c>
      <c r="AS34" s="2" t="n">
        <v>-3.1953</v>
      </c>
      <c r="AT34" s="2" t="n">
        <v>1</v>
      </c>
      <c r="AU34" s="2" t="n">
        <v>49.3099</v>
      </c>
      <c r="AV34" s="2" t="n">
        <v>0.8099</v>
      </c>
      <c r="AW34" s="2" t="n">
        <v>-3.1953</v>
      </c>
      <c r="AX34" s="2" t="n">
        <v>1</v>
      </c>
      <c r="AY34" s="2" t="n">
        <v>49.3099</v>
      </c>
      <c r="AZ34" s="2" t="n">
        <v>0.8099</v>
      </c>
      <c r="BA34" s="2" t="n">
        <v>0.00061</v>
      </c>
    </row>
    <row r="35">
      <c r="A35" s="2" t="inlineStr">
        <is>
          <t>2026-10-15</t>
        </is>
      </c>
      <c r="B35" s="2" t="inlineStr">
        <is>
          <t>13:18</t>
        </is>
      </c>
      <c r="C35" s="2" t="inlineStr">
        <is>
          <t>PATK</t>
        </is>
      </c>
      <c r="D35" s="2" t="n">
        <v>66.91</v>
      </c>
      <c r="E35" s="2" t="inlineStr">
        <is>
          <t>2026-10-15 13:15:00-04:00</t>
        </is>
      </c>
      <c r="F35" s="2" t="n"/>
      <c r="G35" s="2" t="inlineStr">
        <is>
          <t>off</t>
        </is>
      </c>
      <c r="H35" s="2" t="n">
        <v>1.115</v>
      </c>
      <c r="I35" s="2" t="inlineStr">
        <is>
          <t>time</t>
        </is>
      </c>
      <c r="J35" s="2" t="inlineStr">
        <is>
          <t>ema_bounce</t>
        </is>
      </c>
      <c r="K35" s="2" t="n">
        <v>228</v>
      </c>
      <c r="L35" s="2" t="n">
        <v>0.0639709232223955</v>
      </c>
      <c r="M35" s="2" t="n">
        <v>0.0153213929073625</v>
      </c>
      <c r="N35" s="2" t="n">
        <v>1.059106073477457</v>
      </c>
      <c r="O35" s="2" t="n">
        <v>0.004841410123316</v>
      </c>
      <c r="P35" s="2" t="n">
        <v>0.0066805315658267</v>
      </c>
      <c r="Q35" s="2" t="n">
        <v>-0.0083909861955467</v>
      </c>
      <c r="R35" s="2" t="n">
        <v>0</v>
      </c>
      <c r="S35" s="2" t="n">
        <v>4.21005137899511</v>
      </c>
      <c r="T35" s="2" t="n">
        <v>0.0012344233850942</v>
      </c>
      <c r="U35" s="2" t="n">
        <v>1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1.5</v>
      </c>
      <c r="AD35" s="2" t="n">
        <v>1</v>
      </c>
      <c r="AE35" s="2" t="n">
        <v>67.375</v>
      </c>
      <c r="AF35" s="2" t="n">
        <v>0.465</v>
      </c>
      <c r="AG35" s="2" t="n">
        <v>1.9247</v>
      </c>
      <c r="AH35" s="2" t="n">
        <v>2</v>
      </c>
      <c r="AI35" s="2" t="n">
        <v>67.375</v>
      </c>
      <c r="AJ35" s="2" t="n">
        <v>0.465</v>
      </c>
      <c r="AK35" s="2" t="n">
        <v>1.4624</v>
      </c>
      <c r="AL35" s="2" t="n">
        <v>1.5</v>
      </c>
      <c r="AM35" s="2" t="n">
        <v>67.375</v>
      </c>
      <c r="AN35" s="2" t="n">
        <v>0.465</v>
      </c>
      <c r="AO35" s="2" t="n">
        <v>1.5</v>
      </c>
      <c r="AP35" s="2" t="n">
        <v>0</v>
      </c>
      <c r="AQ35" s="2" t="n">
        <v>67.36</v>
      </c>
      <c r="AR35" s="2" t="n">
        <v>0.45</v>
      </c>
      <c r="AS35" s="2" t="n">
        <v>2.0222</v>
      </c>
      <c r="AT35" s="2" t="n">
        <v>1</v>
      </c>
      <c r="AU35" s="2" t="n">
        <v>67.36</v>
      </c>
      <c r="AV35" s="2" t="n">
        <v>0.45</v>
      </c>
      <c r="AW35" s="2" t="n">
        <v>1.5111</v>
      </c>
      <c r="AX35" s="2" t="n">
        <v>0.5</v>
      </c>
      <c r="AY35" s="2" t="n">
        <v>67.36</v>
      </c>
      <c r="AZ35" s="2" t="n">
        <v>0.45</v>
      </c>
      <c r="BA35" s="2" t="n"/>
    </row>
    <row r="36">
      <c r="A36" s="2" t="inlineStr">
        <is>
          <t>2026-10-15</t>
        </is>
      </c>
      <c r="B36" s="2" t="inlineStr">
        <is>
          <t>13:21</t>
        </is>
      </c>
      <c r="C36" s="2" t="inlineStr">
        <is>
          <t>RGC</t>
        </is>
      </c>
      <c r="D36" s="2" t="n">
        <v>10.61</v>
      </c>
      <c r="E36" s="2" t="inlineStr">
        <is>
          <t>2026-10-15 13:20:00-04:00</t>
        </is>
      </c>
      <c r="F36" s="2" t="n"/>
      <c r="G36" s="2" t="inlineStr">
        <is>
          <t>off</t>
        </is>
      </c>
      <c r="H36" s="2" t="n">
        <v>-1.074</v>
      </c>
      <c r="I36" s="2" t="inlineStr">
        <is>
          <t>stop</t>
        </is>
      </c>
      <c r="J36" s="2" t="inlineStr">
        <is>
          <t>ema_bounce</t>
        </is>
      </c>
      <c r="K36" s="2" t="n">
        <v>231</v>
      </c>
      <c r="L36" s="2" t="n">
        <v>0.3390875605938934</v>
      </c>
      <c r="M36" s="2" t="n">
        <v>-0.0160295490884178</v>
      </c>
      <c r="N36" s="2" t="n">
        <v>2.323216193178613</v>
      </c>
      <c r="O36" s="2" t="n">
        <v>0.08541890490022939</v>
      </c>
      <c r="P36" s="2" t="n">
        <v>0.0230202269411247</v>
      </c>
      <c r="Q36" s="2" t="n">
        <v>-0.0233725212391703</v>
      </c>
      <c r="R36" s="2" t="n">
        <v>0</v>
      </c>
      <c r="S36" s="2" t="n">
        <v>2.385086282892276</v>
      </c>
      <c r="T36" s="2" t="n">
        <v>0.0010524916635776</v>
      </c>
      <c r="U36" s="2" t="n">
        <v>1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1</v>
      </c>
      <c r="AA36" s="2" t="n">
        <v>0</v>
      </c>
      <c r="AB36" s="2" t="n">
        <v>0</v>
      </c>
      <c r="AC36" s="2" t="n">
        <v>-1</v>
      </c>
      <c r="AD36" s="2" t="n">
        <v>2</v>
      </c>
      <c r="AE36" s="2" t="n">
        <v>10.86</v>
      </c>
      <c r="AF36" s="2" t="n">
        <v>0.25</v>
      </c>
      <c r="AG36" s="2" t="n">
        <v>-1</v>
      </c>
      <c r="AH36" s="2" t="n">
        <v>2</v>
      </c>
      <c r="AI36" s="2" t="n">
        <v>10.86</v>
      </c>
      <c r="AJ36" s="2" t="n">
        <v>0.25</v>
      </c>
      <c r="AK36" s="2" t="n">
        <v>-1</v>
      </c>
      <c r="AL36" s="2" t="n">
        <v>2</v>
      </c>
      <c r="AM36" s="2" t="n">
        <v>10.86</v>
      </c>
      <c r="AN36" s="2" t="n">
        <v>0.25</v>
      </c>
      <c r="AO36" s="2" t="n">
        <v>-1</v>
      </c>
      <c r="AP36" s="2" t="n">
        <v>1</v>
      </c>
      <c r="AQ36" s="2" t="n">
        <v>10.86</v>
      </c>
      <c r="AR36" s="2" t="n">
        <v>0.25</v>
      </c>
      <c r="AS36" s="2" t="n">
        <v>-1</v>
      </c>
      <c r="AT36" s="2" t="n">
        <v>1</v>
      </c>
      <c r="AU36" s="2" t="n">
        <v>10.86</v>
      </c>
      <c r="AV36" s="2" t="n">
        <v>0.25</v>
      </c>
      <c r="AW36" s="2" t="n">
        <v>-1</v>
      </c>
      <c r="AX36" s="2" t="n">
        <v>1</v>
      </c>
      <c r="AY36" s="2" t="n">
        <v>10.86</v>
      </c>
      <c r="AZ36" s="2" t="n">
        <v>0.25</v>
      </c>
      <c r="BA36" s="2" t="n"/>
    </row>
    <row r="37">
      <c r="A37" s="2" t="inlineStr">
        <is>
          <t>2026-10-15</t>
        </is>
      </c>
      <c r="B37" s="2" t="inlineStr">
        <is>
          <t>13:27</t>
        </is>
      </c>
      <c r="C37" s="2" t="inlineStr">
        <is>
          <t>LAC</t>
        </is>
      </c>
      <c r="D37" s="2" t="n">
        <v>2.21</v>
      </c>
      <c r="E37" s="2" t="inlineStr">
        <is>
          <t>2026-10-15 13:26:00-04:00</t>
        </is>
      </c>
      <c r="F37" s="2" t="n"/>
      <c r="G37" s="2" t="inlineStr">
        <is>
          <t>off</t>
        </is>
      </c>
      <c r="H37" s="2" t="n">
        <v>-0.459</v>
      </c>
      <c r="I37" s="2" t="inlineStr">
        <is>
          <t>time</t>
        </is>
      </c>
      <c r="J37" s="2" t="inlineStr">
        <is>
          <t>ema_bounce</t>
        </is>
      </c>
      <c r="K37" s="2" t="n">
        <v>237</v>
      </c>
      <c r="L37" s="2" t="n">
        <v>0.0797101290696873</v>
      </c>
      <c r="M37" s="2" t="n">
        <v>-0.00483091342307</v>
      </c>
      <c r="N37" s="2" t="n">
        <v>1.159949356078415</v>
      </c>
      <c r="O37" s="2" t="n">
        <v>0.0299164875593827</v>
      </c>
      <c r="P37" s="2" t="n">
        <v>0.011185635914651</v>
      </c>
      <c r="Q37" s="2" t="n">
        <v>-0.019736875815185</v>
      </c>
      <c r="R37" s="2" t="n">
        <v>0</v>
      </c>
      <c r="S37" s="2" t="n">
        <v>0.80424118112854</v>
      </c>
      <c r="T37" s="2" t="n">
        <v>0.0010135516133313</v>
      </c>
      <c r="U37" s="2" t="n">
        <v>1</v>
      </c>
      <c r="V37" s="2" t="n">
        <v>0</v>
      </c>
      <c r="W37" s="2" t="n">
        <v>0</v>
      </c>
      <c r="X37" s="2" t="n">
        <v>1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0.7176</v>
      </c>
      <c r="AD37" s="2" t="n">
        <v>2</v>
      </c>
      <c r="AE37" s="2" t="n">
        <v>2.2362</v>
      </c>
      <c r="AF37" s="2" t="n">
        <v>0.0262</v>
      </c>
      <c r="AG37" s="2" t="n">
        <v>0.7176</v>
      </c>
      <c r="AH37" s="2" t="n">
        <v>2</v>
      </c>
      <c r="AI37" s="2" t="n">
        <v>2.2362</v>
      </c>
      <c r="AJ37" s="2" t="n">
        <v>0.0262</v>
      </c>
      <c r="AK37" s="2" t="n">
        <v>0.7176</v>
      </c>
      <c r="AL37" s="2" t="n">
        <v>2</v>
      </c>
      <c r="AM37" s="2" t="n">
        <v>2.2362</v>
      </c>
      <c r="AN37" s="2" t="n">
        <v>0.0262</v>
      </c>
      <c r="AO37" s="2" t="n">
        <v>0.9</v>
      </c>
      <c r="AP37" s="2" t="n">
        <v>0.5</v>
      </c>
      <c r="AQ37" s="2" t="n">
        <v>2.235</v>
      </c>
      <c r="AR37" s="2" t="n">
        <v>0.025</v>
      </c>
      <c r="AS37" s="2" t="n">
        <v>0.8</v>
      </c>
      <c r="AT37" s="2" t="n">
        <v>1</v>
      </c>
      <c r="AU37" s="2" t="n">
        <v>2.235</v>
      </c>
      <c r="AV37" s="2" t="n">
        <v>0.025</v>
      </c>
      <c r="AW37" s="2" t="n">
        <v>0.9</v>
      </c>
      <c r="AX37" s="2" t="n">
        <v>0.5</v>
      </c>
      <c r="AY37" s="2" t="n">
        <v>2.235</v>
      </c>
      <c r="AZ37" s="2" t="n">
        <v>0.025</v>
      </c>
      <c r="BA37" s="2" t="n"/>
    </row>
    <row r="38">
      <c r="A38" s="2" t="inlineStr">
        <is>
          <t>2026-10-15</t>
        </is>
      </c>
      <c r="B38" s="2" t="inlineStr">
        <is>
          <t>13:32</t>
        </is>
      </c>
      <c r="C38" s="2" t="inlineStr">
        <is>
          <t>RGC</t>
        </is>
      </c>
      <c r="D38" s="2" t="n">
        <v>9.960000000000001</v>
      </c>
      <c r="E38" s="2" t="inlineStr">
        <is>
          <t>2026-10-15 13:31:00-04:00</t>
        </is>
      </c>
      <c r="F38" s="2" t="n"/>
      <c r="G38" s="2" t="inlineStr">
        <is>
          <t>off</t>
        </is>
      </c>
      <c r="H38" s="2" t="n">
        <v>1.5</v>
      </c>
      <c r="I38" s="2" t="inlineStr">
        <is>
          <t>target</t>
        </is>
      </c>
      <c r="J38" s="2" t="inlineStr">
        <is>
          <t>vwap_pullback</t>
        </is>
      </c>
      <c r="K38" s="2" t="n">
        <v>242</v>
      </c>
      <c r="L38" s="2" t="n">
        <v>0.2428853364747751</v>
      </c>
      <c r="M38" s="2" t="n">
        <v>-0.0160295490884178</v>
      </c>
      <c r="N38" s="2" t="n">
        <v>2.424290474393779</v>
      </c>
      <c r="O38" s="2" t="n">
        <v>0.0022685678470941</v>
      </c>
      <c r="P38" s="2" t="n">
        <v>0.0118851223471147</v>
      </c>
      <c r="Q38" s="2" t="n">
        <v>-0.093535024691125</v>
      </c>
      <c r="R38" s="2" t="n">
        <v>0</v>
      </c>
      <c r="S38" s="2" t="n">
        <v>2.310533386661928</v>
      </c>
      <c r="T38" s="2" t="n">
        <v>0.0010135516133313</v>
      </c>
      <c r="U38" s="2" t="n">
        <v>1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1</v>
      </c>
      <c r="AA38" s="2" t="n">
        <v>0</v>
      </c>
      <c r="AB38" s="2" t="n">
        <v>0</v>
      </c>
      <c r="AC38" s="2" t="n">
        <v>1.5</v>
      </c>
      <c r="AD38" s="2" t="n">
        <v>1</v>
      </c>
      <c r="AE38" s="2" t="n">
        <v>10.1</v>
      </c>
      <c r="AF38" s="2" t="n">
        <v>0.14</v>
      </c>
      <c r="AG38" s="2" t="n">
        <v>3</v>
      </c>
      <c r="AH38" s="2" t="n">
        <v>1</v>
      </c>
      <c r="AI38" s="2" t="n">
        <v>10.1</v>
      </c>
      <c r="AJ38" s="2" t="n">
        <v>0.14</v>
      </c>
      <c r="AK38" s="2" t="n">
        <v>0.9286</v>
      </c>
      <c r="AL38" s="2" t="n">
        <v>1.5</v>
      </c>
      <c r="AM38" s="2" t="n">
        <v>10.1</v>
      </c>
      <c r="AN38" s="2" t="n">
        <v>0.14</v>
      </c>
      <c r="AO38" s="2" t="n">
        <v>1.5</v>
      </c>
      <c r="AP38" s="2" t="n">
        <v>0</v>
      </c>
      <c r="AQ38" s="2" t="n">
        <v>10.0798</v>
      </c>
      <c r="AR38" s="2" t="n">
        <v>0.1198</v>
      </c>
      <c r="AS38" s="2" t="n">
        <v>3</v>
      </c>
      <c r="AT38" s="2" t="n">
        <v>0</v>
      </c>
      <c r="AU38" s="2" t="n">
        <v>10.0798</v>
      </c>
      <c r="AV38" s="2" t="n">
        <v>0.1198</v>
      </c>
      <c r="AW38" s="2" t="n">
        <v>1.0851</v>
      </c>
      <c r="AX38" s="2" t="n">
        <v>0.5</v>
      </c>
      <c r="AY38" s="2" t="n">
        <v>10.0798</v>
      </c>
      <c r="AZ38" s="2" t="n">
        <v>0.1198</v>
      </c>
      <c r="BA38" s="2" t="n"/>
    </row>
    <row r="39">
      <c r="A39" s="2" t="inlineStr">
        <is>
          <t>2026-10-15</t>
        </is>
      </c>
      <c r="B39" s="2" t="inlineStr">
        <is>
          <t>13:39</t>
        </is>
      </c>
      <c r="C39" s="2" t="inlineStr">
        <is>
          <t>DNN</t>
        </is>
      </c>
      <c r="D39" s="2" t="n">
        <v>2.29</v>
      </c>
      <c r="E39" s="2" t="inlineStr">
        <is>
          <t>2026-10-15 13:38:00-04:00</t>
        </is>
      </c>
      <c r="F39" s="2" t="n"/>
      <c r="G39" s="2" t="inlineStr">
        <is>
          <t>off</t>
        </is>
      </c>
      <c r="H39" s="2" t="n">
        <v>0.331</v>
      </c>
      <c r="I39" s="2" t="inlineStr">
        <is>
          <t>time</t>
        </is>
      </c>
      <c r="J39" s="2" t="inlineStr">
        <is>
          <t>ema_bounce</t>
        </is>
      </c>
      <c r="K39" s="2" t="n">
        <v>249</v>
      </c>
      <c r="L39" s="2" t="n">
        <v>0.0717592431623264</v>
      </c>
      <c r="M39" s="2" t="n">
        <v>-0.0138888750915179</v>
      </c>
      <c r="N39" s="2" t="n">
        <v>1.351792630266435</v>
      </c>
      <c r="O39" s="2" t="n">
        <v>0.0062284305762303</v>
      </c>
      <c r="P39" s="2" t="n">
        <v>0.0107991605194496</v>
      </c>
      <c r="Q39" s="2" t="n">
        <v>-0.0190677287608689</v>
      </c>
      <c r="R39" s="2" t="n">
        <v>0</v>
      </c>
      <c r="S39" s="2" t="n">
        <v>0.839409712255458</v>
      </c>
      <c r="T39" s="2" t="n">
        <v>0.0019623881940746</v>
      </c>
      <c r="U39" s="2" t="n">
        <v>1</v>
      </c>
      <c r="V39" s="2" t="n">
        <v>0</v>
      </c>
      <c r="W39" s="2" t="n">
        <v>0</v>
      </c>
      <c r="X39" s="2" t="n">
        <v>1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1.5</v>
      </c>
      <c r="AD39" s="2" t="n">
        <v>1</v>
      </c>
      <c r="AE39" s="2" t="n">
        <v>2.315</v>
      </c>
      <c r="AF39" s="2" t="n">
        <v>0.025</v>
      </c>
      <c r="AG39" s="2" t="n">
        <v>2.196</v>
      </c>
      <c r="AH39" s="2" t="n">
        <v>2</v>
      </c>
      <c r="AI39" s="2" t="n">
        <v>2.315</v>
      </c>
      <c r="AJ39" s="2" t="n">
        <v>0.025</v>
      </c>
      <c r="AK39" s="2" t="n">
        <v>1</v>
      </c>
      <c r="AL39" s="2" t="n">
        <v>1.5</v>
      </c>
      <c r="AM39" s="2" t="n">
        <v>2.315</v>
      </c>
      <c r="AN39" s="2" t="n">
        <v>0.025</v>
      </c>
      <c r="AO39" s="2" t="n">
        <v>1.5</v>
      </c>
      <c r="AP39" s="2" t="n">
        <v>0</v>
      </c>
      <c r="AQ39" s="2" t="n">
        <v>2.315</v>
      </c>
      <c r="AR39" s="2" t="n">
        <v>0.025</v>
      </c>
      <c r="AS39" s="2" t="n">
        <v>2.196</v>
      </c>
      <c r="AT39" s="2" t="n">
        <v>1</v>
      </c>
      <c r="AU39" s="2" t="n">
        <v>2.315</v>
      </c>
      <c r="AV39" s="2" t="n">
        <v>0.025</v>
      </c>
      <c r="AW39" s="2" t="n">
        <v>1</v>
      </c>
      <c r="AX39" s="2" t="n">
        <v>0.5</v>
      </c>
      <c r="AY39" s="2" t="n">
        <v>2.315</v>
      </c>
      <c r="AZ39" s="2" t="n">
        <v>0.025</v>
      </c>
      <c r="BA39" s="2" t="n"/>
    </row>
    <row r="40">
      <c r="A40" s="2" t="inlineStr">
        <is>
          <t>2026-10-15</t>
        </is>
      </c>
      <c r="B40" s="2" t="inlineStr">
        <is>
          <t>13:42</t>
        </is>
      </c>
      <c r="C40" s="2" t="inlineStr">
        <is>
          <t>ERIC</t>
        </is>
      </c>
      <c r="D40" s="2" t="n">
        <v>10.43</v>
      </c>
      <c r="E40" s="2" t="inlineStr">
        <is>
          <t>2026-10-15 13:41:00-04:00</t>
        </is>
      </c>
      <c r="F40" s="2" t="n"/>
      <c r="G40" s="2" t="inlineStr">
        <is>
          <t>off</t>
        </is>
      </c>
      <c r="H40" s="2" t="n">
        <v>1.036</v>
      </c>
      <c r="I40" s="2" t="inlineStr">
        <is>
          <t>time</t>
        </is>
      </c>
      <c r="J40" s="2" t="inlineStr">
        <is>
          <t>ema_bounce</t>
        </is>
      </c>
      <c r="K40" s="2" t="n">
        <v>252</v>
      </c>
      <c r="L40" s="2" t="n">
        <v>0.0981211421235559</v>
      </c>
      <c r="M40" s="2" t="n">
        <v>0.1115657600256756</v>
      </c>
      <c r="N40" s="2" t="n">
        <v>1.814459349094037</v>
      </c>
      <c r="O40" s="2" t="n">
        <v>0.0090128034427037</v>
      </c>
      <c r="P40" s="2" t="n">
        <v>0.008555176221237901</v>
      </c>
      <c r="Q40" s="2" t="n">
        <v>-0.013133151186904</v>
      </c>
      <c r="R40" s="2" t="n">
        <v>0</v>
      </c>
      <c r="S40" s="2" t="n">
        <v>2.35327825082322</v>
      </c>
      <c r="T40" s="2" t="n">
        <v>0.002637613423801</v>
      </c>
      <c r="U40" s="2" t="n">
        <v>1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1.3778</v>
      </c>
      <c r="AD40" s="2" t="n">
        <v>1.5</v>
      </c>
      <c r="AE40" s="2" t="n">
        <v>10.52</v>
      </c>
      <c r="AF40" s="2" t="n">
        <v>0.09</v>
      </c>
      <c r="AG40" s="2" t="n">
        <v>1.7555</v>
      </c>
      <c r="AH40" s="2" t="n">
        <v>2</v>
      </c>
      <c r="AI40" s="2" t="n">
        <v>10.52</v>
      </c>
      <c r="AJ40" s="2" t="n">
        <v>0.09</v>
      </c>
      <c r="AK40" s="2" t="n">
        <v>0.9722</v>
      </c>
      <c r="AL40" s="2" t="n">
        <v>1.5</v>
      </c>
      <c r="AM40" s="2" t="n">
        <v>10.52</v>
      </c>
      <c r="AN40" s="2" t="n">
        <v>0.09</v>
      </c>
      <c r="AO40" s="2" t="n">
        <v>1.3778</v>
      </c>
      <c r="AP40" s="2" t="n">
        <v>0.5</v>
      </c>
      <c r="AQ40" s="2" t="n">
        <v>10.52</v>
      </c>
      <c r="AR40" s="2" t="n">
        <v>0.09</v>
      </c>
      <c r="AS40" s="2" t="n">
        <v>1.7555</v>
      </c>
      <c r="AT40" s="2" t="n">
        <v>1</v>
      </c>
      <c r="AU40" s="2" t="n">
        <v>10.52</v>
      </c>
      <c r="AV40" s="2" t="n">
        <v>0.09</v>
      </c>
      <c r="AW40" s="2" t="n">
        <v>0.9722</v>
      </c>
      <c r="AX40" s="2" t="n">
        <v>0.5</v>
      </c>
      <c r="AY40" s="2" t="n">
        <v>10.52</v>
      </c>
      <c r="AZ40" s="2" t="n">
        <v>0.09</v>
      </c>
      <c r="BA40" s="2" t="n"/>
    </row>
    <row r="41">
      <c r="A41" s="2" t="inlineStr">
        <is>
          <t>2026-10-15</t>
        </is>
      </c>
      <c r="B41" s="2" t="inlineStr">
        <is>
          <t>13:57</t>
        </is>
      </c>
      <c r="C41" s="2" t="inlineStr">
        <is>
          <t>RGC</t>
        </is>
      </c>
      <c r="D41" s="2" t="n">
        <v>10.39</v>
      </c>
      <c r="E41" s="2" t="inlineStr">
        <is>
          <t>2026-10-15 13:56:00-04:00</t>
        </is>
      </c>
      <c r="F41" s="2" t="n"/>
      <c r="G41" s="2" t="inlineStr">
        <is>
          <t>off</t>
        </is>
      </c>
      <c r="H41" s="2" t="n">
        <v>-1.106</v>
      </c>
      <c r="I41" s="2" t="inlineStr">
        <is>
          <t>stop</t>
        </is>
      </c>
      <c r="J41" s="2" t="inlineStr">
        <is>
          <t>bull_flag</t>
        </is>
      </c>
      <c r="K41" s="2" t="n">
        <v>267</v>
      </c>
      <c r="L41" s="2" t="n">
        <v>0.3002466735756122</v>
      </c>
      <c r="M41" s="2" t="n">
        <v>-0.0160295490884178</v>
      </c>
      <c r="N41" s="2" t="n">
        <v>2.456114605523753</v>
      </c>
      <c r="O41" s="2" t="n">
        <v>0.0441213982963213</v>
      </c>
      <c r="P41" s="2" t="n">
        <v>0.0146989165644861</v>
      </c>
      <c r="Q41" s="2" t="n">
        <v>-0.051700077015041</v>
      </c>
      <c r="R41" s="2" t="n">
        <v>0</v>
      </c>
      <c r="S41" s="2" t="n">
        <v>2.355651821165821</v>
      </c>
      <c r="T41" s="2" t="n">
        <v>0.0023648744568021</v>
      </c>
      <c r="U41" s="2" t="n">
        <v>1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1</v>
      </c>
      <c r="AA41" s="2" t="n">
        <v>0</v>
      </c>
      <c r="AB41" s="2" t="n">
        <v>0</v>
      </c>
      <c r="AC41" s="2" t="n">
        <v>-1</v>
      </c>
      <c r="AD41" s="2" t="n">
        <v>2</v>
      </c>
      <c r="AE41" s="2" t="n">
        <v>10.559</v>
      </c>
      <c r="AF41" s="2" t="n">
        <v>0.169</v>
      </c>
      <c r="AG41" s="2" t="n">
        <v>-1</v>
      </c>
      <c r="AH41" s="2" t="n">
        <v>2</v>
      </c>
      <c r="AI41" s="2" t="n">
        <v>10.559</v>
      </c>
      <c r="AJ41" s="2" t="n">
        <v>0.169</v>
      </c>
      <c r="AK41" s="2" t="n">
        <v>-1</v>
      </c>
      <c r="AL41" s="2" t="n">
        <v>2</v>
      </c>
      <c r="AM41" s="2" t="n">
        <v>10.559</v>
      </c>
      <c r="AN41" s="2" t="n">
        <v>0.169</v>
      </c>
      <c r="AO41" s="2" t="n">
        <v>-1</v>
      </c>
      <c r="AP41" s="2" t="n">
        <v>1</v>
      </c>
      <c r="AQ41" s="2" t="n">
        <v>10.545</v>
      </c>
      <c r="AR41" s="2" t="n">
        <v>0.155</v>
      </c>
      <c r="AS41" s="2" t="n">
        <v>-1</v>
      </c>
      <c r="AT41" s="2" t="n">
        <v>1</v>
      </c>
      <c r="AU41" s="2" t="n">
        <v>10.545</v>
      </c>
      <c r="AV41" s="2" t="n">
        <v>0.155</v>
      </c>
      <c r="AW41" s="2" t="n">
        <v>-1</v>
      </c>
      <c r="AX41" s="2" t="n">
        <v>1</v>
      </c>
      <c r="AY41" s="2" t="n">
        <v>10.545</v>
      </c>
      <c r="AZ41" s="2" t="n">
        <v>0.155</v>
      </c>
      <c r="BA41" s="2" t="n"/>
    </row>
    <row r="42">
      <c r="A42" s="2" t="inlineStr">
        <is>
          <t>2026-10-15</t>
        </is>
      </c>
      <c r="B42" s="2" t="inlineStr">
        <is>
          <t>14:47</t>
        </is>
      </c>
      <c r="C42" s="2" t="inlineStr">
        <is>
          <t>DNN</t>
        </is>
      </c>
      <c r="D42" s="2" t="n">
        <v>2.29</v>
      </c>
      <c r="E42" s="2" t="inlineStr">
        <is>
          <t>2026-10-15 14:46:00-04:00</t>
        </is>
      </c>
      <c r="F42" s="2" t="n"/>
      <c r="G42" s="2" t="inlineStr">
        <is>
          <t>off</t>
        </is>
      </c>
      <c r="H42" s="2" t="n">
        <v>0.198</v>
      </c>
      <c r="I42" s="2" t="inlineStr">
        <is>
          <t>time</t>
        </is>
      </c>
      <c r="J42" s="2" t="inlineStr">
        <is>
          <t>vwap_pullback</t>
        </is>
      </c>
      <c r="K42" s="2" t="n">
        <v>317</v>
      </c>
      <c r="L42" s="2" t="n">
        <v>0.0717592431623264</v>
      </c>
      <c r="M42" s="2" t="n">
        <v>-0.0138888750915179</v>
      </c>
      <c r="N42" s="2" t="n">
        <v>1.558963719731424</v>
      </c>
      <c r="O42" s="2" t="n">
        <v>0.0040181443508628</v>
      </c>
      <c r="P42" s="2" t="n">
        <v>0.0107991605194496</v>
      </c>
      <c r="Q42" s="2" t="n">
        <v>-0.0190677287608689</v>
      </c>
      <c r="R42" s="2" t="n">
        <v>0</v>
      </c>
      <c r="S42" s="2" t="n">
        <v>0.839409712255458</v>
      </c>
      <c r="T42" s="2" t="n">
        <v>0.0005912384411099</v>
      </c>
      <c r="U42" s="2" t="n">
        <v>1</v>
      </c>
      <c r="V42" s="2" t="n">
        <v>0</v>
      </c>
      <c r="W42" s="2" t="n">
        <v>0</v>
      </c>
      <c r="X42" s="2" t="n">
        <v>1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1.3317</v>
      </c>
      <c r="AD42" s="2" t="n">
        <v>1.5</v>
      </c>
      <c r="AE42" s="2" t="n">
        <v>2.32</v>
      </c>
      <c r="AF42" s="2" t="n">
        <v>0.03</v>
      </c>
      <c r="AG42" s="2" t="n">
        <v>1.6633</v>
      </c>
      <c r="AH42" s="2" t="n">
        <v>2</v>
      </c>
      <c r="AI42" s="2" t="n">
        <v>2.32</v>
      </c>
      <c r="AJ42" s="2" t="n">
        <v>0.03</v>
      </c>
      <c r="AK42" s="2" t="n">
        <v>0.8333</v>
      </c>
      <c r="AL42" s="2" t="n">
        <v>1.5</v>
      </c>
      <c r="AM42" s="2" t="n">
        <v>2.32</v>
      </c>
      <c r="AN42" s="2" t="n">
        <v>0.03</v>
      </c>
      <c r="AO42" s="2" t="n">
        <v>1.3317</v>
      </c>
      <c r="AP42" s="2" t="n">
        <v>0.5</v>
      </c>
      <c r="AQ42" s="2" t="n">
        <v>2.32</v>
      </c>
      <c r="AR42" s="2" t="n">
        <v>0.03</v>
      </c>
      <c r="AS42" s="2" t="n">
        <v>1.6633</v>
      </c>
      <c r="AT42" s="2" t="n">
        <v>1</v>
      </c>
      <c r="AU42" s="2" t="n">
        <v>2.32</v>
      </c>
      <c r="AV42" s="2" t="n">
        <v>0.03</v>
      </c>
      <c r="AW42" s="2" t="n">
        <v>0.8333</v>
      </c>
      <c r="AX42" s="2" t="n">
        <v>0.5</v>
      </c>
      <c r="AY42" s="2" t="n">
        <v>2.32</v>
      </c>
      <c r="AZ42" s="2" t="n">
        <v>0.03</v>
      </c>
      <c r="BA42" s="2" t="n">
        <v>0.00432</v>
      </c>
    </row>
    <row r="43">
      <c r="A43" s="2" t="inlineStr">
        <is>
          <t>2026-10-15</t>
        </is>
      </c>
      <c r="B43" s="2" t="inlineStr">
        <is>
          <t>15:30</t>
        </is>
      </c>
      <c r="C43" s="2" t="inlineStr">
        <is>
          <t>ERIC</t>
        </is>
      </c>
      <c r="D43" s="2" t="n">
        <v>10.54</v>
      </c>
      <c r="E43" s="2" t="inlineStr">
        <is>
          <t>2026-10-15 15:29:00-04:00</t>
        </is>
      </c>
      <c r="F43" s="2" t="n"/>
      <c r="G43" s="2" t="inlineStr">
        <is>
          <t>off</t>
        </is>
      </c>
      <c r="H43" s="2" t="n">
        <v>0.063</v>
      </c>
      <c r="I43" s="2" t="inlineStr">
        <is>
          <t>next open</t>
        </is>
      </c>
      <c r="J43" s="2" t="inlineStr">
        <is>
          <t>eod_squeeze</t>
        </is>
      </c>
      <c r="K43" s="2" t="n">
        <v>360</v>
      </c>
      <c r="L43" s="2" t="n">
        <v>0.1059499322970869</v>
      </c>
      <c r="M43" s="2" t="n">
        <v>0.1115657600256756</v>
      </c>
      <c r="N43" s="2" t="n">
        <v>1.682021798397494</v>
      </c>
      <c r="O43" s="2" t="n">
        <v>0.0139724806565413</v>
      </c>
      <c r="P43" s="2" t="n">
        <v>0.0051911529629657</v>
      </c>
      <c r="Q43" s="2" t="n">
        <v>-0.0060975216992221</v>
      </c>
      <c r="R43" s="2" t="n">
        <v>0</v>
      </c>
      <c r="S43" s="2" t="n">
        <v>2.360382216923548</v>
      </c>
      <c r="T43" s="2" t="n">
        <v>0.0032225072538731</v>
      </c>
      <c r="U43" s="2" t="n">
        <v>1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1.5</v>
      </c>
      <c r="AD43" s="2" t="n">
        <v>1</v>
      </c>
      <c r="AE43" s="2" t="n">
        <v>10.5988</v>
      </c>
      <c r="AF43" s="2" t="n">
        <v>0.0588</v>
      </c>
      <c r="AG43" s="2" t="n">
        <v>-0.4898</v>
      </c>
      <c r="AH43" s="2" t="n">
        <v>2</v>
      </c>
      <c r="AI43" s="2" t="n">
        <v>10.5988</v>
      </c>
      <c r="AJ43" s="2" t="n">
        <v>0.0588</v>
      </c>
      <c r="AK43" s="2" t="n">
        <v>0.8512</v>
      </c>
      <c r="AL43" s="2" t="n">
        <v>1.5</v>
      </c>
      <c r="AM43" s="2" t="n">
        <v>10.5988</v>
      </c>
      <c r="AN43" s="2" t="n">
        <v>0.0588</v>
      </c>
      <c r="AO43" s="2" t="n">
        <v>1.5</v>
      </c>
      <c r="AP43" s="2" t="n">
        <v>0</v>
      </c>
      <c r="AQ43" s="2" t="n">
        <v>10.595</v>
      </c>
      <c r="AR43" s="2" t="n">
        <v>0.055</v>
      </c>
      <c r="AS43" s="2" t="n">
        <v>-0.4546</v>
      </c>
      <c r="AT43" s="2" t="n">
        <v>1</v>
      </c>
      <c r="AU43" s="2" t="n">
        <v>10.595</v>
      </c>
      <c r="AV43" s="2" t="n">
        <v>0.055</v>
      </c>
      <c r="AW43" s="2" t="n">
        <v>0.91</v>
      </c>
      <c r="AX43" s="2" t="n">
        <v>0.5</v>
      </c>
      <c r="AY43" s="2" t="n">
        <v>10.595</v>
      </c>
      <c r="AZ43" s="2" t="n">
        <v>0.055</v>
      </c>
      <c r="BA43" s="2" t="n">
        <v>0.00094</v>
      </c>
    </row>
    <row r="44">
      <c r="A44" s="2" t="inlineStr">
        <is>
          <t>2026-10-15</t>
        </is>
      </c>
      <c r="B44" s="2" t="inlineStr">
        <is>
          <t>15:30</t>
        </is>
      </c>
      <c r="C44" s="2" t="inlineStr">
        <is>
          <t>DNN</t>
        </is>
      </c>
      <c r="D44" s="2" t="n">
        <v>2.3</v>
      </c>
      <c r="E44" s="2" t="inlineStr">
        <is>
          <t>2026-10-15 15:29:00-04:00</t>
        </is>
      </c>
      <c r="F44" s="2" t="n"/>
      <c r="G44" s="2" t="inlineStr">
        <is>
          <t>off</t>
        </is>
      </c>
      <c r="H44" s="2" t="n">
        <v>-0.538</v>
      </c>
      <c r="I44" s="2" t="inlineStr">
        <is>
          <t>next open</t>
        </is>
      </c>
      <c r="J44" s="2" t="inlineStr">
        <is>
          <t>eod_squeeze</t>
        </is>
      </c>
      <c r="K44" s="2" t="n">
        <v>360</v>
      </c>
      <c r="L44" s="2" t="n">
        <v>0.0851851888644841</v>
      </c>
      <c r="M44" s="2" t="n">
        <v>-0.0138888750915179</v>
      </c>
      <c r="N44" s="2" t="n">
        <v>1.479226032483189</v>
      </c>
      <c r="O44" s="2" t="n">
        <v>0.0162908093659825</v>
      </c>
      <c r="P44" s="2" t="n">
        <v>0.0187713733753794</v>
      </c>
      <c r="Q44" s="2" t="n">
        <v>-0.0067795740328615</v>
      </c>
      <c r="R44" s="2" t="n">
        <v>0</v>
      </c>
      <c r="S44" s="2" t="n">
        <v>0.8518589148416754</v>
      </c>
      <c r="T44" s="2" t="n">
        <v>0.0032225072538731</v>
      </c>
      <c r="U44" s="2" t="n">
        <v>1</v>
      </c>
      <c r="V44" s="2" t="n">
        <v>0</v>
      </c>
      <c r="W44" s="2" t="n">
        <v>0</v>
      </c>
      <c r="X44" s="2" t="n">
        <v>1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0.1111</v>
      </c>
      <c r="AD44" s="2" t="n">
        <v>2</v>
      </c>
      <c r="AE44" s="2" t="n">
        <v>2.345</v>
      </c>
      <c r="AF44" s="2" t="n">
        <v>0.045</v>
      </c>
      <c r="AG44" s="2" t="n">
        <v>0.1111</v>
      </c>
      <c r="AH44" s="2" t="n">
        <v>2</v>
      </c>
      <c r="AI44" s="2" t="n">
        <v>2.345</v>
      </c>
      <c r="AJ44" s="2" t="n">
        <v>0.045</v>
      </c>
      <c r="AK44" s="2" t="n">
        <v>0.1111</v>
      </c>
      <c r="AL44" s="2" t="n">
        <v>2</v>
      </c>
      <c r="AM44" s="2" t="n">
        <v>2.345</v>
      </c>
      <c r="AN44" s="2" t="n">
        <v>0.045</v>
      </c>
      <c r="AO44" s="2" t="n">
        <v>0.25</v>
      </c>
      <c r="AP44" s="2" t="n">
        <v>1</v>
      </c>
      <c r="AQ44" s="2" t="n">
        <v>2.34</v>
      </c>
      <c r="AR44" s="2" t="n">
        <v>0.04</v>
      </c>
      <c r="AS44" s="2" t="n">
        <v>0.25</v>
      </c>
      <c r="AT44" s="2" t="n">
        <v>1</v>
      </c>
      <c r="AU44" s="2" t="n">
        <v>2.34</v>
      </c>
      <c r="AV44" s="2" t="n">
        <v>0.04</v>
      </c>
      <c r="AW44" s="2" t="n">
        <v>0.25</v>
      </c>
      <c r="AX44" s="2" t="n">
        <v>1</v>
      </c>
      <c r="AY44" s="2" t="n">
        <v>2.34</v>
      </c>
      <c r="AZ44" s="2" t="n">
        <v>0.04</v>
      </c>
      <c r="BA44" s="2" t="n">
        <v>0.00426</v>
      </c>
    </row>
    <row r="45">
      <c r="A45" s="2" t="inlineStr">
        <is>
          <t>2026-10-15</t>
        </is>
      </c>
      <c r="B45" s="2" t="inlineStr">
        <is>
          <t>15:43</t>
        </is>
      </c>
      <c r="C45" s="2" t="inlineStr">
        <is>
          <t>LAC</t>
        </is>
      </c>
      <c r="D45" s="2" t="n">
        <v>2.23</v>
      </c>
      <c r="E45" s="2" t="inlineStr">
        <is>
          <t>2026-10-15 15:42:00-04:00</t>
        </is>
      </c>
      <c r="F45" s="2" t="n"/>
      <c r="G45" s="2" t="inlineStr">
        <is>
          <t>off</t>
        </is>
      </c>
      <c r="H45" s="2" t="n">
        <v>-1.667</v>
      </c>
      <c r="I45" s="2" t="inlineStr">
        <is>
          <t>next open</t>
        </is>
      </c>
      <c r="J45" s="2" t="inlineStr">
        <is>
          <t>eod_squeeze</t>
        </is>
      </c>
      <c r="K45" s="2" t="n">
        <v>373</v>
      </c>
      <c r="L45" s="2" t="n">
        <v>0.091787470216393</v>
      </c>
      <c r="M45" s="2" t="n">
        <v>-0.00483091342307</v>
      </c>
      <c r="N45" s="2" t="n">
        <v>1.000391329512645</v>
      </c>
      <c r="O45" s="2" t="n">
        <v>0.0352824473891444</v>
      </c>
      <c r="P45" s="2" t="n">
        <v>0.0132743321194029</v>
      </c>
      <c r="Q45" s="2" t="n">
        <v>-0.0087719215690703</v>
      </c>
      <c r="R45" s="2" t="n">
        <v>0</v>
      </c>
      <c r="S45" s="2" t="n">
        <v>0.8153648090643967</v>
      </c>
      <c r="T45" s="2" t="n">
        <v>0.0034823983835199</v>
      </c>
      <c r="U45" s="2" t="n">
        <v>1</v>
      </c>
      <c r="V45" s="2" t="n">
        <v>0</v>
      </c>
      <c r="W45" s="2" t="n">
        <v>0</v>
      </c>
      <c r="X45" s="2" t="n">
        <v>1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-1.4</v>
      </c>
      <c r="AD45" s="2" t="n">
        <v>2</v>
      </c>
      <c r="AE45" s="2" t="n">
        <v>2.255</v>
      </c>
      <c r="AF45" s="2" t="n">
        <v>0.025</v>
      </c>
      <c r="AG45" s="2" t="n">
        <v>-1.4</v>
      </c>
      <c r="AH45" s="2" t="n">
        <v>2</v>
      </c>
      <c r="AI45" s="2" t="n">
        <v>2.255</v>
      </c>
      <c r="AJ45" s="2" t="n">
        <v>0.025</v>
      </c>
      <c r="AK45" s="2" t="n">
        <v>-1.4</v>
      </c>
      <c r="AL45" s="2" t="n">
        <v>2</v>
      </c>
      <c r="AM45" s="2" t="n">
        <v>2.255</v>
      </c>
      <c r="AN45" s="2" t="n">
        <v>0.025</v>
      </c>
      <c r="AO45" s="2" t="n">
        <v>-1.4</v>
      </c>
      <c r="AP45" s="2" t="n">
        <v>1</v>
      </c>
      <c r="AQ45" s="2" t="n">
        <v>2.255</v>
      </c>
      <c r="AR45" s="2" t="n">
        <v>0.025</v>
      </c>
      <c r="AS45" s="2" t="n">
        <v>-1.4</v>
      </c>
      <c r="AT45" s="2" t="n">
        <v>1</v>
      </c>
      <c r="AU45" s="2" t="n">
        <v>2.255</v>
      </c>
      <c r="AV45" s="2" t="n">
        <v>0.025</v>
      </c>
      <c r="AW45" s="2" t="n">
        <v>-1.4</v>
      </c>
      <c r="AX45" s="2" t="n">
        <v>1</v>
      </c>
      <c r="AY45" s="2" t="n">
        <v>2.255</v>
      </c>
      <c r="AZ45" s="2" t="n">
        <v>0.025</v>
      </c>
      <c r="BA45" s="2" t="n">
        <v>0.00443</v>
      </c>
    </row>
    <row r="46">
      <c r="A46" s="2" t="inlineStr">
        <is>
          <t>2026-10-16</t>
        </is>
      </c>
      <c r="B46" s="2" t="inlineStr">
        <is>
          <t>14:55</t>
        </is>
      </c>
      <c r="C46" s="2" t="inlineStr">
        <is>
          <t>FMC</t>
        </is>
      </c>
      <c r="D46" s="2" t="n">
        <v>5.72</v>
      </c>
      <c r="E46" s="2" t="inlineStr">
        <is>
          <t>2026-10-16 14:54:00-04:00</t>
        </is>
      </c>
      <c r="F46" s="2" t="n"/>
      <c r="G46" s="2" t="inlineStr">
        <is>
          <t>off</t>
        </is>
      </c>
      <c r="H46" s="2" t="n">
        <v>-1.235</v>
      </c>
      <c r="I46" s="2" t="inlineStr">
        <is>
          <t>stop</t>
        </is>
      </c>
      <c r="J46" s="2" t="inlineStr">
        <is>
          <t>ema_bounce</t>
        </is>
      </c>
      <c r="K46" s="2" t="n">
        <v>325</v>
      </c>
      <c r="L46" s="2" t="n">
        <v>0.0302313067527439</v>
      </c>
      <c r="M46" s="2" t="n">
        <v>-0.029359424415115</v>
      </c>
      <c r="N46" s="2" t="n">
        <v>1.999813653745339</v>
      </c>
      <c r="O46" s="2" t="n">
        <v>0.0047240496639835</v>
      </c>
      <c r="P46" s="2" t="n">
        <v>0.0120727176893999</v>
      </c>
      <c r="Q46" s="2" t="n">
        <v>-0.0366223618052974</v>
      </c>
      <c r="R46" s="2" t="n">
        <v>0</v>
      </c>
      <c r="S46" s="2" t="n">
        <v>1.756114990234857</v>
      </c>
      <c r="T46" s="2" t="n">
        <v>-0.0133585533009195</v>
      </c>
      <c r="U46" s="2" t="n">
        <v>1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-1</v>
      </c>
      <c r="AD46" s="2" t="n">
        <v>2</v>
      </c>
      <c r="AE46" s="2" t="n">
        <v>5.785</v>
      </c>
      <c r="AF46" s="2" t="n">
        <v>0.065</v>
      </c>
      <c r="AG46" s="2" t="n">
        <v>-1</v>
      </c>
      <c r="AH46" s="2" t="n">
        <v>2</v>
      </c>
      <c r="AI46" s="2" t="n">
        <v>5.785</v>
      </c>
      <c r="AJ46" s="2" t="n">
        <v>0.065</v>
      </c>
      <c r="AK46" s="2" t="n">
        <v>-1</v>
      </c>
      <c r="AL46" s="2" t="n">
        <v>2</v>
      </c>
      <c r="AM46" s="2" t="n">
        <v>5.785</v>
      </c>
      <c r="AN46" s="2" t="n">
        <v>0.065</v>
      </c>
      <c r="AO46" s="2" t="n">
        <v>-1</v>
      </c>
      <c r="AP46" s="2" t="n">
        <v>1</v>
      </c>
      <c r="AQ46" s="2" t="n">
        <v>5.785</v>
      </c>
      <c r="AR46" s="2" t="n">
        <v>0.065</v>
      </c>
      <c r="AS46" s="2" t="n">
        <v>-1</v>
      </c>
      <c r="AT46" s="2" t="n">
        <v>1</v>
      </c>
      <c r="AU46" s="2" t="n">
        <v>5.785</v>
      </c>
      <c r="AV46" s="2" t="n">
        <v>0.065</v>
      </c>
      <c r="AW46" s="2" t="n">
        <v>-1</v>
      </c>
      <c r="AX46" s="2" t="n">
        <v>1</v>
      </c>
      <c r="AY46" s="2" t="n">
        <v>5.785</v>
      </c>
      <c r="AZ46" s="2" t="n">
        <v>0.065</v>
      </c>
      <c r="BA46" s="2" t="n">
        <v>0.00173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sim_pnl</t>
        </is>
      </c>
      <c r="F1" s="4" t="inlineStr">
        <is>
          <t>alp_shares_in</t>
        </is>
      </c>
      <c r="G1" s="4" t="inlineStr">
        <is>
          <t>alp_shares_out</t>
        </is>
      </c>
      <c r="H1" s="4" t="inlineStr">
        <is>
          <t>alp_avg_entry</t>
        </is>
      </c>
      <c r="I1" s="4" t="inlineStr">
        <is>
          <t>alp_pnl</t>
        </is>
      </c>
      <c r="J1" s="4" t="inlineStr">
        <is>
          <t>status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-2.88</v>
      </c>
      <c r="F2" s="2" t="n">
        <v>28</v>
      </c>
      <c r="G2" s="2" t="n">
        <v>28</v>
      </c>
      <c r="H2" s="2" t="n">
        <v>5.13</v>
      </c>
      <c r="I2" s="2" t="n">
        <v>-1.12</v>
      </c>
      <c r="J2" s="2" t="inlineStr">
        <is>
          <t>closed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</v>
      </c>
      <c r="F3" s="2" t="n">
        <v>29</v>
      </c>
      <c r="G3" s="2" t="n">
        <v>29</v>
      </c>
      <c r="H3" s="2" t="n">
        <v>7.56</v>
      </c>
      <c r="I3" s="2" t="n">
        <v>-1.16</v>
      </c>
      <c r="J3" s="2" t="inlineStr">
        <is>
          <t>closed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-5.88</v>
      </c>
      <c r="F4" s="2" t="n">
        <v>57</v>
      </c>
      <c r="G4" s="2" t="n">
        <v>57</v>
      </c>
      <c r="H4" s="2" t="n">
        <v>5.13</v>
      </c>
      <c r="I4" s="2" t="n">
        <v>-2.28</v>
      </c>
      <c r="J4" s="2" t="inlineStr">
        <is>
          <t>closed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6.48</v>
      </c>
      <c r="F5" s="2" t="n">
        <v>64</v>
      </c>
      <c r="G5" s="2" t="n">
        <v>64</v>
      </c>
      <c r="H5" s="2" t="n">
        <v>7.56</v>
      </c>
      <c r="I5" s="2" t="n">
        <v>-2.56</v>
      </c>
      <c r="J5" s="2" t="inlineStr">
        <is>
          <t>closed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-4.64</v>
      </c>
      <c r="F6" s="2" t="n">
        <v>27</v>
      </c>
      <c r="G6" s="2" t="n">
        <v>27</v>
      </c>
      <c r="H6" s="2" t="n">
        <v>8.09</v>
      </c>
      <c r="I6" s="2" t="n">
        <v>-3.24</v>
      </c>
      <c r="J6" s="2" t="inlineStr">
        <is>
          <t>closed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0.58</v>
      </c>
      <c r="F7" s="2" t="n">
        <v>29</v>
      </c>
      <c r="G7" s="2" t="n">
        <v>29</v>
      </c>
      <c r="H7" s="2" t="n">
        <v>6.76</v>
      </c>
      <c r="I7" s="2" t="n">
        <v>-3.77</v>
      </c>
      <c r="J7" s="2" t="inlineStr">
        <is>
          <t>closed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1.02</v>
      </c>
      <c r="F8" s="2" t="n">
        <v>51</v>
      </c>
      <c r="G8" s="2" t="n">
        <v>51</v>
      </c>
      <c r="H8" s="2" t="n">
        <v>6.76</v>
      </c>
      <c r="I8" s="2" t="n">
        <v>-6.63</v>
      </c>
      <c r="J8" s="2" t="inlineStr">
        <is>
          <t>closed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0.99</v>
      </c>
      <c r="F9" s="2" t="n">
        <v>20</v>
      </c>
      <c r="G9" s="2" t="n">
        <v>10</v>
      </c>
      <c r="H9" s="2" t="n">
        <v>10.33</v>
      </c>
      <c r="I9" s="2" t="n"/>
      <c r="J9" s="2" t="inlineStr">
        <is>
          <t>partially open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-5.88</v>
      </c>
      <c r="F10" s="2" t="n">
        <v>28</v>
      </c>
      <c r="G10" s="2" t="n">
        <v>28</v>
      </c>
      <c r="H10" s="2" t="n">
        <v>10.38</v>
      </c>
      <c r="I10" s="2" t="n">
        <v>-4.44</v>
      </c>
      <c r="J10" s="2" t="inlineStr">
        <is>
          <t>closed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-5.53</v>
      </c>
      <c r="F11" s="2" t="n">
        <v>66</v>
      </c>
      <c r="G11" s="2" t="n">
        <v>66</v>
      </c>
      <c r="H11" s="2" t="n">
        <v>1.28</v>
      </c>
      <c r="I11" s="2" t="n">
        <v>-3.3</v>
      </c>
      <c r="J11" s="2" t="inlineStr">
        <is>
          <t>closed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-2.7</v>
      </c>
      <c r="F12" s="2" t="n">
        <v>0</v>
      </c>
      <c r="G12" s="2" t="n">
        <v>0</v>
      </c>
      <c r="H12" s="2" t="n"/>
      <c r="I12" s="2" t="n"/>
      <c r="J12" s="2" t="inlineStr">
        <is>
          <t>no fill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-4.32</v>
      </c>
      <c r="F13" s="2" t="n">
        <v>0</v>
      </c>
      <c r="G13" s="2" t="n">
        <v>0</v>
      </c>
      <c r="H13" s="2" t="n"/>
      <c r="I13" s="2" t="n"/>
      <c r="J13" s="2" t="inlineStr">
        <is>
          <t>no fill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-4.32</v>
      </c>
      <c r="F14" s="2" t="n">
        <v>0</v>
      </c>
      <c r="G14" s="2" t="n">
        <v>0</v>
      </c>
      <c r="H14" s="2" t="n"/>
      <c r="I14" s="2" t="n"/>
      <c r="J14" s="2" t="inlineStr">
        <is>
          <t>no fill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-7.02</v>
      </c>
      <c r="F15" s="2" t="n">
        <v>0</v>
      </c>
      <c r="G15" s="2" t="n">
        <v>0</v>
      </c>
      <c r="H15" s="2" t="n"/>
      <c r="I15" s="2" t="n"/>
      <c r="J15" s="2" t="inlineStr">
        <is>
          <t>no fill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2.88</v>
      </c>
      <c r="F16" s="2" t="n">
        <v>0</v>
      </c>
      <c r="G16" s="2" t="n">
        <v>0</v>
      </c>
      <c r="H16" s="2" t="n"/>
      <c r="I16" s="2" t="n"/>
      <c r="J16" s="2" t="inlineStr">
        <is>
          <t>no fill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2026-10-16T20:02:03Z</dcterms:created>
  <dcterms:modified xmlns:dcterms="http://purl.org/dc/terms/" xmlns:xsi="http://www.w3.org/2001/XMLSchema-instance" xsi:type="dcterms:W3CDTF">2026-10-16T20:02:03Z</dcterms:modified>
</cp:coreProperties>
</file>