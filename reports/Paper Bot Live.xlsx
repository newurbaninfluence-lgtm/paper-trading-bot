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Journal" sheetId="2" state="visible" r:id="rId2"/>
    <sheet xmlns:r="http://schemas.openxmlformats.org/officeDocument/2006/relationships" name="Signals" sheetId="3" state="visible" r:id="rId3"/>
    <sheet xmlns:r="http://schemas.openxmlformats.org/officeDocument/2006/relationships" name="Alpaca fi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;($#,##0.00);-"/>
    <numFmt numFmtId="166" formatCode="$#,##0.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B7280"/>
    </font>
    <font>
      <name val="Arial"/>
      <b val="1"/>
      <color rgb="00FFFFFF"/>
    </font>
    <font>
      <name val="Arial"/>
      <b val="1"/>
    </font>
    <font>
      <name val="Arial"/>
      <color rgb="000000FF"/>
    </font>
    <font>
      <name val="Arial"/>
      <color theme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6" fillId="0" borderId="0" pivotButton="0" quotePrefix="0" xfId="0"/>
    <xf numFmtId="9" fontId="6" fillId="0" borderId="0" pivotButton="0" quotePrefix="0" xfId="0"/>
    <xf numFmtId="165" fontId="6" fillId="0" borderId="0" pivotButton="0" quotePrefix="0" xfId="0"/>
    <xf numFmtId="2" fontId="6" fillId="0" borderId="0" pivotButton="0" quotePrefix="0" xfId="0"/>
    <xf numFmtId="166" fontId="6" fillId="0" borderId="0" pivotButton="0" quotePrefix="0" xfId="0"/>
    <xf numFmtId="0" fontId="4" fillId="0" borderId="0" pivotButton="0" quotePrefix="0" xfId="0"/>
    <xf numFmtId="9" fontId="4" fillId="0" borderId="0" pivotButton="0" quotePrefix="0" xfId="0"/>
    <xf numFmtId="165" fontId="4" fillId="0" borderId="0" pivotButton="0" quotePrefix="0" xfId="0"/>
    <xf numFmtId="2" fontId="4" fillId="0" borderId="0" pivotButton="0" quotePrefix="0" xfId="0"/>
    <xf numFmtId="166" fontId="4" fillId="0" borderId="0" pivotButton="0" quotePrefix="0" xfId="0"/>
    <xf numFmtId="166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10" customWidth="1" min="4" max="4"/>
    <col width="12" customWidth="1" min="5" max="5"/>
    <col width="9" customWidth="1" min="6" max="6"/>
    <col width="9" customWidth="1" min="7" max="7"/>
    <col width="12" customWidth="1" min="8" max="8"/>
  </cols>
  <sheetData>
    <row r="1">
      <c r="A1" s="1" t="inlineStr">
        <is>
          <t>Paper Bot Live: accounts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Rebuilt by the bot after every session from journal.csv. Totals are formulas over the Journal tab.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Account ($)</t>
        </is>
      </c>
      <c r="B4" s="4" t="inlineStr">
        <is>
          <t>Trades</t>
        </is>
      </c>
      <c r="C4" s="4" t="inlineStr">
        <is>
          <t>Wins</t>
        </is>
      </c>
      <c r="D4" s="4" t="inlineStr">
        <is>
          <t>Win rate</t>
        </is>
      </c>
      <c r="E4" s="4" t="inlineStr">
        <is>
          <t>P&amp;L ($)</t>
        </is>
      </c>
      <c r="F4" s="4" t="inlineStr">
        <is>
          <t>R total</t>
        </is>
      </c>
      <c r="G4" s="4" t="inlineStr">
        <is>
          <t>Avg R</t>
        </is>
      </c>
      <c r="H4" s="4" t="inlineStr">
        <is>
          <t>Value ($)</t>
        </is>
      </c>
    </row>
    <row r="5">
      <c r="A5" s="5" t="n">
        <v>200</v>
      </c>
      <c r="B5" s="2">
        <f>COUNTIF(Journal!$B:$B,A5)</f>
        <v/>
      </c>
      <c r="C5" s="2">
        <f>COUNTIFS(Journal!$B:$B,A5,Journal!$L:$L,"&gt;0")</f>
        <v/>
      </c>
      <c r="D5" s="6">
        <f>IFERROR(C5/B5,0)</f>
        <v/>
      </c>
      <c r="E5" s="7">
        <f>SUMIF(Journal!$B:$B,A5,Journal!$L:$L)</f>
        <v/>
      </c>
      <c r="F5" s="8">
        <f>SUMIF(Journal!$B:$B,A5,Journal!$M:$M)</f>
        <v/>
      </c>
      <c r="G5" s="8">
        <f>IFERROR(F5/B5,0)</f>
        <v/>
      </c>
      <c r="H5" s="9">
        <f>A5+E5</f>
        <v/>
      </c>
    </row>
    <row r="6">
      <c r="A6" s="5" t="n">
        <v>250</v>
      </c>
      <c r="B6" s="2">
        <f>COUNTIF(Journal!$B:$B,A6)</f>
        <v/>
      </c>
      <c r="C6" s="2">
        <f>COUNTIFS(Journal!$B:$B,A6,Journal!$L:$L,"&gt;0")</f>
        <v/>
      </c>
      <c r="D6" s="6">
        <f>IFERROR(C6/B6,0)</f>
        <v/>
      </c>
      <c r="E6" s="7">
        <f>SUMIF(Journal!$B:$B,A6,Journal!$L:$L)</f>
        <v/>
      </c>
      <c r="F6" s="8">
        <f>SUMIF(Journal!$B:$B,A6,Journal!$M:$M)</f>
        <v/>
      </c>
      <c r="G6" s="8">
        <f>IFERROR(F6/B6,0)</f>
        <v/>
      </c>
      <c r="H6" s="9">
        <f>A6+E6</f>
        <v/>
      </c>
    </row>
    <row r="7">
      <c r="A7" s="5" t="n">
        <v>350</v>
      </c>
      <c r="B7" s="2">
        <f>COUNTIF(Journal!$B:$B,A7)</f>
        <v/>
      </c>
      <c r="C7" s="2">
        <f>COUNTIFS(Journal!$B:$B,A7,Journal!$L:$L,"&gt;0")</f>
        <v/>
      </c>
      <c r="D7" s="6">
        <f>IFERROR(C7/B7,0)</f>
        <v/>
      </c>
      <c r="E7" s="7">
        <f>SUMIF(Journal!$B:$B,A7,Journal!$L:$L)</f>
        <v/>
      </c>
      <c r="F7" s="8">
        <f>SUMIF(Journal!$B:$B,A7,Journal!$M:$M)</f>
        <v/>
      </c>
      <c r="G7" s="8">
        <f>IFERROR(F7/B7,0)</f>
        <v/>
      </c>
      <c r="H7" s="9">
        <f>A7+E7</f>
        <v/>
      </c>
    </row>
    <row r="8">
      <c r="A8" s="5" t="n">
        <v>400</v>
      </c>
      <c r="B8" s="2">
        <f>COUNTIF(Journal!$B:$B,A8)</f>
        <v/>
      </c>
      <c r="C8" s="2">
        <f>COUNTIFS(Journal!$B:$B,A8,Journal!$L:$L,"&gt;0")</f>
        <v/>
      </c>
      <c r="D8" s="6">
        <f>IFERROR(C8/B8,0)</f>
        <v/>
      </c>
      <c r="E8" s="7">
        <f>SUMIF(Journal!$B:$B,A8,Journal!$L:$L)</f>
        <v/>
      </c>
      <c r="F8" s="8">
        <f>SUMIF(Journal!$B:$B,A8,Journal!$M:$M)</f>
        <v/>
      </c>
      <c r="G8" s="8">
        <f>IFERROR(F8/B8,0)</f>
        <v/>
      </c>
      <c r="H8" s="9">
        <f>A8+E8</f>
        <v/>
      </c>
    </row>
    <row r="9">
      <c r="A9" s="5" t="n">
        <v>550</v>
      </c>
      <c r="B9" s="2">
        <f>COUNTIF(Journal!$B:$B,A9)</f>
        <v/>
      </c>
      <c r="C9" s="2">
        <f>COUNTIFS(Journal!$B:$B,A9,Journal!$L:$L,"&gt;0")</f>
        <v/>
      </c>
      <c r="D9" s="6">
        <f>IFERROR(C9/B9,0)</f>
        <v/>
      </c>
      <c r="E9" s="7">
        <f>SUMIF(Journal!$B:$B,A9,Journal!$L:$L)</f>
        <v/>
      </c>
      <c r="F9" s="8">
        <f>SUMIF(Journal!$B:$B,A9,Journal!$M:$M)</f>
        <v/>
      </c>
      <c r="G9" s="8">
        <f>IFERROR(F9/B9,0)</f>
        <v/>
      </c>
      <c r="H9" s="9">
        <f>A9+E9</f>
        <v/>
      </c>
    </row>
    <row r="10">
      <c r="A10" s="5" t="n">
        <v>1000</v>
      </c>
      <c r="B10" s="2">
        <f>COUNTIF(Journal!$B:$B,A10)</f>
        <v/>
      </c>
      <c r="C10" s="2">
        <f>COUNTIFS(Journal!$B:$B,A10,Journal!$L:$L,"&gt;0")</f>
        <v/>
      </c>
      <c r="D10" s="6">
        <f>IFERROR(C10/B10,0)</f>
        <v/>
      </c>
      <c r="E10" s="7">
        <f>SUMIF(Journal!$B:$B,A10,Journal!$L:$L)</f>
        <v/>
      </c>
      <c r="F10" s="8">
        <f>SUMIF(Journal!$B:$B,A10,Journal!$M:$M)</f>
        <v/>
      </c>
      <c r="G10" s="8">
        <f>IFERROR(F10/B10,0)</f>
        <v/>
      </c>
      <c r="H10" s="9">
        <f>A10+E10</f>
        <v/>
      </c>
    </row>
    <row r="11">
      <c r="A11" s="10" t="inlineStr">
        <is>
          <t>Total</t>
        </is>
      </c>
      <c r="B11" s="10">
        <f>SUM(B5:B10)</f>
        <v/>
      </c>
      <c r="C11" s="10">
        <f>SUM(C5:C10)</f>
        <v/>
      </c>
      <c r="D11" s="11">
        <f>IFERROR(C11/B11,0)</f>
        <v/>
      </c>
      <c r="E11" s="12">
        <f>SUM(E5:E10)</f>
        <v/>
      </c>
      <c r="F11" s="13">
        <f>SUM(F5:F10)</f>
        <v/>
      </c>
      <c r="G11" s="13">
        <f>IFERROR(F11/B11,0)</f>
        <v/>
      </c>
      <c r="H11" s="14">
        <f>SUM(H5:H10)</f>
        <v/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Trading days</t>
        </is>
      </c>
      <c r="B13" s="2">
        <f>SUMPRODUCT(1/COUNTIF(Journal!A2:A5000,Journal!A2:A5000&amp;""))-1</f>
        <v/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Average $/day</t>
        </is>
      </c>
      <c r="B14" s="9">
        <f>IFERROR(E11/B13,0)</f>
        <v/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Goal $/day</t>
        </is>
      </c>
      <c r="B15" s="15" t="n">
        <v>20</v>
      </c>
      <c r="C15" s="2" t="n"/>
      <c r="D15" s="2" t="n"/>
      <c r="E15" s="2" t="n"/>
      <c r="F15" s="2" t="n"/>
      <c r="G15" s="2" t="n"/>
      <c r="H1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account</t>
        </is>
      </c>
      <c r="C1" s="4" t="inlineStr">
        <is>
          <t>strategy</t>
        </is>
      </c>
      <c r="D1" s="4" t="inlineStr">
        <is>
          <t>ticker</t>
        </is>
      </c>
      <c r="E1" s="4" t="inlineStr">
        <is>
          <t>shares</t>
        </is>
      </c>
      <c r="F1" s="4" t="inlineStr">
        <is>
          <t>entry</t>
        </is>
      </c>
      <c r="G1" s="4" t="inlineStr">
        <is>
          <t>stop</t>
        </is>
      </c>
      <c r="H1" s="4" t="inlineStr">
        <is>
          <t>half_at</t>
        </is>
      </c>
      <c r="I1" s="4" t="inlineStr">
        <is>
          <t>target</t>
        </is>
      </c>
      <c r="J1" s="4" t="inlineStr">
        <is>
          <t>exit</t>
        </is>
      </c>
      <c r="K1" s="4" t="inlineStr">
        <is>
          <t>exit_reason</t>
        </is>
      </c>
      <c r="L1" s="4" t="inlineStr">
        <is>
          <t>pnl</t>
        </is>
      </c>
      <c r="M1" s="4" t="inlineStr">
        <is>
          <t>R</t>
        </is>
      </c>
      <c r="N1" s="4" t="inlineStr">
        <is>
          <t>size</t>
        </is>
      </c>
      <c r="O1" s="4" t="inlineStr">
        <is>
          <t>p</t>
        </is>
      </c>
      <c r="P1" s="4" t="inlineStr">
        <is>
          <t>test</t>
        </is>
      </c>
      <c r="Q1" s="4" t="inlineStr">
        <is>
          <t>reason</t>
        </is>
      </c>
    </row>
    <row r="2">
      <c r="A2" s="2" t="inlineStr">
        <is>
          <t>2026-10-12</t>
        </is>
      </c>
      <c r="B2" s="2" t="n">
        <v>200</v>
      </c>
      <c r="C2" s="2" t="inlineStr">
        <is>
          <t>vwap_pullback</t>
        </is>
      </c>
      <c r="D2" s="2" t="inlineStr">
        <is>
          <t>BORR</t>
        </is>
      </c>
      <c r="E2" s="2" t="n">
        <v>24</v>
      </c>
      <c r="F2" s="2" t="n">
        <v>5.17</v>
      </c>
      <c r="G2" s="2" t="n">
        <v>5.09</v>
      </c>
      <c r="H2" s="2" t="n">
        <v>5.25</v>
      </c>
      <c r="I2" s="2" t="n">
        <v>5.33</v>
      </c>
      <c r="J2" s="2" t="n">
        <v>5.05</v>
      </c>
      <c r="K2" s="2" t="inlineStr">
        <is>
          <t>stop</t>
        </is>
      </c>
      <c r="L2" s="2" t="n">
        <v>-2.88</v>
      </c>
      <c r="M2" s="2" t="n">
        <v>-1.44</v>
      </c>
      <c r="N2" s="2" t="n">
        <v>1</v>
      </c>
      <c r="O2" s="2" t="n"/>
      <c r="P2" s="2" t="n">
        <v>1</v>
      </c>
      <c r="Q2" s="2" t="inlineStr">
        <is>
          <t>VWAP pullback: +7.3%, dipped to VWAP 5.10, reclaimed with green bar | news: [Google News] Borr Drilling (BORR) Wins New Rig Work As 2027</t>
        </is>
      </c>
    </row>
    <row r="3">
      <c r="A3" s="2" t="inlineStr">
        <is>
          <t>2026-10-12</t>
        </is>
      </c>
      <c r="B3" s="2" t="n">
        <v>250</v>
      </c>
      <c r="C3" s="2" t="inlineStr">
        <is>
          <t>failed_breakdown</t>
        </is>
      </c>
      <c r="D3" s="2" t="inlineStr">
        <is>
          <t>CCC</t>
        </is>
      </c>
      <c r="E3" s="2" t="n">
        <v>33</v>
      </c>
      <c r="F3" s="2" t="n">
        <v>7.57</v>
      </c>
      <c r="G3" s="2" t="n">
        <v>7.51</v>
      </c>
      <c r="H3" s="2" t="n">
        <v>7.63</v>
      </c>
      <c r="I3" s="2" t="n">
        <v>7.69</v>
      </c>
      <c r="J3" s="2" t="n">
        <v>7.69</v>
      </c>
      <c r="K3" s="2" t="inlineStr">
        <is>
          <t>target</t>
        </is>
      </c>
      <c r="L3" s="2" t="n">
        <v>3</v>
      </c>
      <c r="M3" s="2" t="n">
        <v>1.2</v>
      </c>
      <c r="N3" s="2" t="n">
        <v>1</v>
      </c>
      <c r="O3" s="2" t="n"/>
      <c r="P3" s="2" t="n">
        <v>1</v>
      </c>
      <c r="Q3" s="2" t="inlineStr">
        <is>
          <t>Failed breakdown: flushed to 7.52 under opening-range low 7.54, reclaimed it | news: [Benzinga] Why Is CCC Intelligent Solutions Stock Surging Mo</t>
        </is>
      </c>
    </row>
    <row r="4">
      <c r="A4" s="2" t="inlineStr">
        <is>
          <t>2026-10-12</t>
        </is>
      </c>
      <c r="B4" s="2" t="n">
        <v>400</v>
      </c>
      <c r="C4" s="2" t="inlineStr">
        <is>
          <t>vwap_pullback</t>
        </is>
      </c>
      <c r="D4" s="2" t="inlineStr">
        <is>
          <t>BORR</t>
        </is>
      </c>
      <c r="E4" s="2" t="n">
        <v>49</v>
      </c>
      <c r="F4" s="2" t="n">
        <v>5.17</v>
      </c>
      <c r="G4" s="2" t="n">
        <v>5.09</v>
      </c>
      <c r="H4" s="2" t="n">
        <v>5.25</v>
      </c>
      <c r="I4" s="2" t="n">
        <v>5.33</v>
      </c>
      <c r="J4" s="2" t="n">
        <v>5.05</v>
      </c>
      <c r="K4" s="2" t="inlineStr">
        <is>
          <t>stop</t>
        </is>
      </c>
      <c r="L4" s="2" t="n">
        <v>-5.88</v>
      </c>
      <c r="M4" s="2" t="n">
        <v>-1.47</v>
      </c>
      <c r="N4" s="2" t="n">
        <v>1</v>
      </c>
      <c r="O4" s="2" t="n"/>
      <c r="P4" s="2" t="n">
        <v>1</v>
      </c>
      <c r="Q4" s="2" t="inlineStr">
        <is>
          <t>VWAP pullback: +7.3%, dipped to VWAP 5.10, reclaimed with green bar | news: [Google News] Borr Drilling (BORR) Wins New Rig Work As 2027</t>
        </is>
      </c>
    </row>
    <row r="5">
      <c r="A5" s="2" t="inlineStr">
        <is>
          <t>2026-10-12</t>
        </is>
      </c>
      <c r="B5" s="2" t="n">
        <v>550</v>
      </c>
      <c r="C5" s="2" t="inlineStr">
        <is>
          <t>failed_breakdown</t>
        </is>
      </c>
      <c r="D5" s="2" t="inlineStr">
        <is>
          <t>CCC</t>
        </is>
      </c>
      <c r="E5" s="2" t="n">
        <v>72</v>
      </c>
      <c r="F5" s="2" t="n">
        <v>7.57</v>
      </c>
      <c r="G5" s="2" t="n">
        <v>7.51</v>
      </c>
      <c r="H5" s="2" t="n">
        <v>7.63</v>
      </c>
      <c r="I5" s="2" t="n">
        <v>7.69</v>
      </c>
      <c r="J5" s="2" t="n">
        <v>7.69</v>
      </c>
      <c r="K5" s="2" t="inlineStr">
        <is>
          <t>target</t>
        </is>
      </c>
      <c r="L5" s="2" t="n">
        <v>6.48</v>
      </c>
      <c r="M5" s="2" t="n">
        <v>1.18</v>
      </c>
      <c r="N5" s="2" t="n">
        <v>1</v>
      </c>
      <c r="O5" s="2" t="n"/>
      <c r="P5" s="2" t="n">
        <v>1</v>
      </c>
      <c r="Q5" s="2" t="inlineStr">
        <is>
          <t>Failed breakdown: flushed to 7.52 under opening-range low 7.54, reclaimed it | news: [Benzinga] Why Is CCC Intelligent Solutions Stock Surging Mo</t>
        </is>
      </c>
    </row>
    <row r="6">
      <c r="A6" s="2" t="inlineStr">
        <is>
          <t>2026-10-12</t>
        </is>
      </c>
      <c r="B6" s="2" t="n">
        <v>350</v>
      </c>
      <c r="C6" s="2" t="inlineStr">
        <is>
          <t>bull_flag</t>
        </is>
      </c>
      <c r="D6" s="2" t="inlineStr">
        <is>
          <t>ALHC</t>
        </is>
      </c>
      <c r="E6" s="2" t="n">
        <v>29</v>
      </c>
      <c r="F6" s="2" t="n">
        <v>8.109999999999999</v>
      </c>
      <c r="G6" s="2" t="n">
        <v>7.99</v>
      </c>
      <c r="H6" s="2" t="n">
        <v>8.23</v>
      </c>
      <c r="I6" s="2" t="n">
        <v>8.35</v>
      </c>
      <c r="J6" s="2" t="n">
        <v>7.95</v>
      </c>
      <c r="K6" s="2" t="inlineStr">
        <is>
          <t>stop</t>
        </is>
      </c>
      <c r="L6" s="2" t="n">
        <v>-4.64</v>
      </c>
      <c r="M6" s="2" t="n">
        <v>-1.33</v>
      </c>
      <c r="N6" s="2" t="n">
        <v>1</v>
      </c>
      <c r="O6" s="2" t="n"/>
      <c r="P6" s="2" t="n">
        <v>1</v>
      </c>
      <c r="Q6" s="2" t="inlineStr">
        <is>
          <t>Bull flag: 3.7% pole, 0.9% flag on light vol, broke 8.07 | news: [Google News] Is Alignment Healthcare (ALHC) Cheap Following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time</t>
        </is>
      </c>
      <c r="C1" s="4" t="inlineStr">
        <is>
          <t>ticker</t>
        </is>
      </c>
      <c r="D1" s="4" t="inlineStr">
        <is>
          <t>stop</t>
        </is>
      </c>
      <c r="E1" s="4" t="inlineStr">
        <is>
          <t>sig_bar</t>
        </is>
      </c>
      <c r="F1" s="4" t="inlineStr">
        <is>
          <t>p</t>
        </is>
      </c>
      <c r="G1" s="4" t="inlineStr">
        <is>
          <t>status</t>
        </is>
      </c>
      <c r="H1" s="4" t="inlineStr">
        <is>
          <t>R</t>
        </is>
      </c>
      <c r="I1" s="4" t="inlineStr">
        <is>
          <t>why</t>
        </is>
      </c>
      <c r="J1" s="4" t="inlineStr">
        <is>
          <t>strategy</t>
        </is>
      </c>
      <c r="K1" s="4" t="inlineStr">
        <is>
          <t>minute</t>
        </is>
      </c>
      <c r="L1" s="4" t="inlineStr">
        <is>
          <t>chg</t>
        </is>
      </c>
      <c r="M1" s="4" t="inlineStr">
        <is>
          <t>gap</t>
        </is>
      </c>
      <c r="N1" s="4" t="inlineStr">
        <is>
          <t>log_rvol</t>
        </is>
      </c>
      <c r="O1" s="4" t="inlineStr">
        <is>
          <t>vwap_dist</t>
        </is>
      </c>
      <c r="P1" s="4" t="inlineStr">
        <is>
          <t>risk_pct</t>
        </is>
      </c>
      <c r="Q1" s="4" t="inlineStr">
        <is>
          <t>hod_dist</t>
        </is>
      </c>
      <c r="R1" s="4" t="inlineStr">
        <is>
          <t>log_pm_rvol</t>
        </is>
      </c>
      <c r="S1" s="4" t="inlineStr">
        <is>
          <t>log_price</t>
        </is>
      </c>
      <c r="T1" s="4" t="inlineStr">
        <is>
          <t>spy_chg</t>
        </is>
      </c>
      <c r="U1" s="4" t="inlineStr">
        <is>
          <t>cat</t>
        </is>
      </c>
      <c r="V1" s="4" t="inlineStr">
        <is>
          <t>cat_earnings</t>
        </is>
      </c>
      <c r="W1" s="4" t="inlineStr">
        <is>
          <t>cat_fda</t>
        </is>
      </c>
      <c r="X1" s="4" t="inlineStr">
        <is>
          <t>cat_deal</t>
        </is>
      </c>
      <c r="Y1" s="4" t="inlineStr">
        <is>
          <t>cat_analyst</t>
        </is>
      </c>
      <c r="Z1" s="4" t="inlineStr">
        <is>
          <t>cat_mna</t>
        </is>
      </c>
      <c r="AA1" s="4" t="inlineStr">
        <is>
          <t>nofill_mkt</t>
        </is>
      </c>
      <c r="AB1" s="4" t="inlineStr">
        <is>
          <t>nofill_lim</t>
        </is>
      </c>
      <c r="AC1" s="4" t="inlineStr">
        <is>
          <t>Rg_mkt_h2</t>
        </is>
      </c>
      <c r="AD1" s="4" t="inlineStr">
        <is>
          <t>cu_mkt_h2</t>
        </is>
      </c>
      <c r="AE1" s="4" t="inlineStr">
        <is>
          <t>px_mkt_h2</t>
        </is>
      </c>
      <c r="AF1" s="4" t="inlineStr">
        <is>
          <t>rk_mkt_h2</t>
        </is>
      </c>
      <c r="AG1" s="4" t="inlineStr">
        <is>
          <t>Rg_mkt_r3</t>
        </is>
      </c>
      <c r="AH1" s="4" t="inlineStr">
        <is>
          <t>cu_mkt_r3</t>
        </is>
      </c>
      <c r="AI1" s="4" t="inlineStr">
        <is>
          <t>px_mkt_r3</t>
        </is>
      </c>
      <c r="AJ1" s="4" t="inlineStr">
        <is>
          <t>rk_mkt_r3</t>
        </is>
      </c>
      <c r="AK1" s="4" t="inlineStr">
        <is>
          <t>Rg_mkt_tr</t>
        </is>
      </c>
      <c r="AL1" s="4" t="inlineStr">
        <is>
          <t>cu_mkt_tr</t>
        </is>
      </c>
      <c r="AM1" s="4" t="inlineStr">
        <is>
          <t>px_mkt_tr</t>
        </is>
      </c>
      <c r="AN1" s="4" t="inlineStr">
        <is>
          <t>rk_mkt_tr</t>
        </is>
      </c>
      <c r="AO1" s="4" t="inlineStr">
        <is>
          <t>Rg_lim_h2</t>
        </is>
      </c>
      <c r="AP1" s="4" t="inlineStr">
        <is>
          <t>cu_lim_h2</t>
        </is>
      </c>
      <c r="AQ1" s="4" t="inlineStr">
        <is>
          <t>px_lim_h2</t>
        </is>
      </c>
      <c r="AR1" s="4" t="inlineStr">
        <is>
          <t>rk_lim_h2</t>
        </is>
      </c>
      <c r="AS1" s="4" t="inlineStr">
        <is>
          <t>Rg_lim_r3</t>
        </is>
      </c>
      <c r="AT1" s="4" t="inlineStr">
        <is>
          <t>cu_lim_r3</t>
        </is>
      </c>
      <c r="AU1" s="4" t="inlineStr">
        <is>
          <t>px_lim_r3</t>
        </is>
      </c>
      <c r="AV1" s="4" t="inlineStr">
        <is>
          <t>rk_lim_r3</t>
        </is>
      </c>
      <c r="AW1" s="4" t="inlineStr">
        <is>
          <t>Rg_lim_tr</t>
        </is>
      </c>
      <c r="AX1" s="4" t="inlineStr">
        <is>
          <t>cu_lim_tr</t>
        </is>
      </c>
      <c r="AY1" s="4" t="inlineStr">
        <is>
          <t>px_lim_tr</t>
        </is>
      </c>
      <c r="AZ1" s="4" t="inlineStr">
        <is>
          <t>rk_lim_tr</t>
        </is>
      </c>
      <c r="BA1" s="4" t="inlineStr">
        <is>
          <t>spread_pct</t>
        </is>
      </c>
    </row>
    <row r="2">
      <c r="A2" s="2" t="inlineStr">
        <is>
          <t>2026-10-12</t>
        </is>
      </c>
      <c r="B2" s="2" t="inlineStr">
        <is>
          <t>09:57</t>
        </is>
      </c>
      <c r="C2" s="2" t="inlineStr">
        <is>
          <t>CCC</t>
        </is>
      </c>
      <c r="D2" s="2" t="n">
        <v>7.51</v>
      </c>
      <c r="E2" s="2" t="inlineStr">
        <is>
          <t>2026-10-12 09:56:00-04:00</t>
        </is>
      </c>
      <c r="F2" s="2" t="n"/>
      <c r="G2" s="2" t="inlineStr">
        <is>
          <t>off</t>
        </is>
      </c>
      <c r="H2" s="2" t="n">
        <v>1.5</v>
      </c>
      <c r="I2" s="2" t="inlineStr">
        <is>
          <t>target</t>
        </is>
      </c>
      <c r="J2" s="2" t="inlineStr">
        <is>
          <t>failed_breakdown</t>
        </is>
      </c>
      <c r="K2" s="2" t="n">
        <v>27</v>
      </c>
      <c r="L2" s="2" t="n">
        <v>0.0776353387143478</v>
      </c>
      <c r="M2" s="2" t="n">
        <v>0.09401707253637349</v>
      </c>
      <c r="N2" s="2" t="n">
        <v>1.77707696390736</v>
      </c>
      <c r="O2" s="2" t="n">
        <v>-0.008612646824607899</v>
      </c>
      <c r="P2" s="2" t="n">
        <v>0.0072703313687306</v>
      </c>
      <c r="Q2" s="2" t="n">
        <v>-0.0226097828259268</v>
      </c>
      <c r="R2" s="2" t="n">
        <v>0</v>
      </c>
      <c r="S2" s="2" t="n">
        <v>2.023532354804161</v>
      </c>
      <c r="T2" s="2" t="n">
        <v>0.0001926138657994</v>
      </c>
      <c r="U2" s="2" t="n">
        <v>1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1.5</v>
      </c>
      <c r="AD2" s="2" t="n">
        <v>1</v>
      </c>
      <c r="AE2" s="2" t="n">
        <v>7.555</v>
      </c>
      <c r="AF2" s="2" t="n">
        <v>0.045</v>
      </c>
      <c r="AG2" s="2" t="n">
        <v>3</v>
      </c>
      <c r="AH2" s="2" t="n">
        <v>1</v>
      </c>
      <c r="AI2" s="2" t="n">
        <v>7.555</v>
      </c>
      <c r="AJ2" s="2" t="n">
        <v>0.045</v>
      </c>
      <c r="AK2" s="2" t="n">
        <v>1.8333</v>
      </c>
      <c r="AL2" s="2" t="n">
        <v>1.5</v>
      </c>
      <c r="AM2" s="2" t="n">
        <v>7.555</v>
      </c>
      <c r="AN2" s="2" t="n">
        <v>0.045</v>
      </c>
      <c r="AO2" s="2" t="n">
        <v>1.5</v>
      </c>
      <c r="AP2" s="2" t="n">
        <v>0</v>
      </c>
      <c r="AQ2" s="2" t="n">
        <v>7.555</v>
      </c>
      <c r="AR2" s="2" t="n">
        <v>0.045</v>
      </c>
      <c r="AS2" s="2" t="n">
        <v>3</v>
      </c>
      <c r="AT2" s="2" t="n">
        <v>0</v>
      </c>
      <c r="AU2" s="2" t="n">
        <v>7.555</v>
      </c>
      <c r="AV2" s="2" t="n">
        <v>0.045</v>
      </c>
      <c r="AW2" s="2" t="n">
        <v>1.8333</v>
      </c>
      <c r="AX2" s="2" t="n">
        <v>0.5</v>
      </c>
      <c r="AY2" s="2" t="n">
        <v>7.555</v>
      </c>
      <c r="AZ2" s="2" t="n">
        <v>0.045</v>
      </c>
      <c r="BA2" s="2" t="n">
        <v>0.00132</v>
      </c>
    </row>
    <row r="3">
      <c r="A3" s="2" t="inlineStr">
        <is>
          <t>2026-10-12</t>
        </is>
      </c>
      <c r="B3" s="2" t="inlineStr">
        <is>
          <t>10:03</t>
        </is>
      </c>
      <c r="C3" s="2" t="inlineStr">
        <is>
          <t>TRAX</t>
        </is>
      </c>
      <c r="D3" s="2" t="n">
        <v>35.54</v>
      </c>
      <c r="E3" s="2" t="inlineStr">
        <is>
          <t>2026-10-12 10:02:00-04:00</t>
        </is>
      </c>
      <c r="F3" s="2" t="n"/>
      <c r="G3" s="2" t="inlineStr">
        <is>
          <t>off</t>
        </is>
      </c>
      <c r="H3" s="2" t="n">
        <v>0.465</v>
      </c>
      <c r="I3" s="2" t="inlineStr">
        <is>
          <t>breakeven</t>
        </is>
      </c>
      <c r="J3" s="2" t="inlineStr">
        <is>
          <t>failed_breakdown</t>
        </is>
      </c>
      <c r="K3" s="2" t="n">
        <v>33</v>
      </c>
      <c r="L3" s="2" t="n">
        <v>0.1367347377527408</v>
      </c>
      <c r="M3" s="2" t="n">
        <v>0.243328037671243</v>
      </c>
      <c r="N3" s="2" t="n">
        <v>3.643971005230621</v>
      </c>
      <c r="O3" s="2" t="n">
        <v>-0.054086025832177</v>
      </c>
      <c r="P3" s="2" t="n">
        <v>0.0183676784262523</v>
      </c>
      <c r="Q3" s="2" t="n">
        <v>-0.1060493375048224</v>
      </c>
      <c r="R3" s="2" t="n">
        <v>0</v>
      </c>
      <c r="S3" s="2" t="n">
        <v>3.589197281415418</v>
      </c>
      <c r="T3" s="2" t="n">
        <v>-8.991782827516559e-05</v>
      </c>
      <c r="U3" s="2" t="n">
        <v>1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0.5</v>
      </c>
      <c r="AD3" s="2" t="n">
        <v>1.5</v>
      </c>
      <c r="AE3" s="2" t="n">
        <v>36.205</v>
      </c>
      <c r="AF3" s="2" t="n">
        <v>0.665</v>
      </c>
      <c r="AG3" s="2" t="n">
        <v>-1</v>
      </c>
      <c r="AH3" s="2" t="n">
        <v>2</v>
      </c>
      <c r="AI3" s="2" t="n">
        <v>36.205</v>
      </c>
      <c r="AJ3" s="2" t="n">
        <v>0.665</v>
      </c>
      <c r="AK3" s="2" t="n">
        <v>0.5</v>
      </c>
      <c r="AL3" s="2" t="n">
        <v>1.5</v>
      </c>
      <c r="AM3" s="2" t="n">
        <v>36.205</v>
      </c>
      <c r="AN3" s="2" t="n">
        <v>0.665</v>
      </c>
      <c r="AO3" s="2" t="n">
        <v>0.5</v>
      </c>
      <c r="AP3" s="2" t="n">
        <v>0.5</v>
      </c>
      <c r="AQ3" s="2" t="n">
        <v>36.205</v>
      </c>
      <c r="AR3" s="2" t="n">
        <v>0.665</v>
      </c>
      <c r="AS3" s="2" t="n">
        <v>-1</v>
      </c>
      <c r="AT3" s="2" t="n">
        <v>1</v>
      </c>
      <c r="AU3" s="2" t="n">
        <v>36.205</v>
      </c>
      <c r="AV3" s="2" t="n">
        <v>0.665</v>
      </c>
      <c r="AW3" s="2" t="n">
        <v>0.5</v>
      </c>
      <c r="AX3" s="2" t="n">
        <v>0.5</v>
      </c>
      <c r="AY3" s="2" t="n">
        <v>36.205</v>
      </c>
      <c r="AZ3" s="2" t="n">
        <v>0.665</v>
      </c>
      <c r="BA3" s="2" t="n">
        <v>0.01184</v>
      </c>
    </row>
    <row r="4">
      <c r="A4" s="2" t="inlineStr">
        <is>
          <t>2026-10-12</t>
        </is>
      </c>
      <c r="B4" s="2" t="inlineStr">
        <is>
          <t>10:06</t>
        </is>
      </c>
      <c r="C4" s="2" t="inlineStr">
        <is>
          <t>ALHC</t>
        </is>
      </c>
      <c r="D4" s="2" t="n">
        <v>7.99</v>
      </c>
      <c r="E4" s="2" t="inlineStr">
        <is>
          <t>2026-10-12 10:05:00-04:00</t>
        </is>
      </c>
      <c r="F4" s="2" t="n"/>
      <c r="G4" s="2" t="inlineStr">
        <is>
          <t>off</t>
        </is>
      </c>
      <c r="H4" s="2" t="n">
        <v>-1.174</v>
      </c>
      <c r="I4" s="2" t="inlineStr">
        <is>
          <t>stop</t>
        </is>
      </c>
      <c r="J4" s="2" t="inlineStr">
        <is>
          <t>bull_flag</t>
        </is>
      </c>
      <c r="K4" s="2" t="n">
        <v>36</v>
      </c>
      <c r="L4" s="2" t="n">
        <v>0.0715705707611167</v>
      </c>
      <c r="M4" s="2" t="n">
        <v>-0.0072896361324885</v>
      </c>
      <c r="N4" s="2" t="n">
        <v>0.8330476166136045</v>
      </c>
      <c r="O4" s="2" t="n">
        <v>0.0225626794479321</v>
      </c>
      <c r="P4" s="2" t="n">
        <v>0.0117501592700976</v>
      </c>
      <c r="Q4" s="2" t="n">
        <v>-0.0012353586846151</v>
      </c>
      <c r="R4" s="2" t="n">
        <v>0</v>
      </c>
      <c r="S4" s="2" t="n">
        <v>2.09001049774731</v>
      </c>
      <c r="T4" s="2" t="n">
        <v>-0.0002183270721414</v>
      </c>
      <c r="U4" s="2" t="n">
        <v>1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0.5</v>
      </c>
      <c r="AD4" s="2" t="n">
        <v>1.5</v>
      </c>
      <c r="AE4" s="2" t="n">
        <v>8.085000000000001</v>
      </c>
      <c r="AF4" s="2" t="n">
        <v>0.095</v>
      </c>
      <c r="AG4" s="2" t="n">
        <v>-1</v>
      </c>
      <c r="AH4" s="2" t="n">
        <v>2</v>
      </c>
      <c r="AI4" s="2" t="n">
        <v>8.085000000000001</v>
      </c>
      <c r="AJ4" s="2" t="n">
        <v>0.095</v>
      </c>
      <c r="AK4" s="2" t="n">
        <v>0.8683999999999999</v>
      </c>
      <c r="AL4" s="2" t="n">
        <v>1.5</v>
      </c>
      <c r="AM4" s="2" t="n">
        <v>8.085000000000001</v>
      </c>
      <c r="AN4" s="2" t="n">
        <v>0.095</v>
      </c>
      <c r="AO4" s="2" t="n">
        <v>0.5</v>
      </c>
      <c r="AP4" s="2" t="n">
        <v>0.5</v>
      </c>
      <c r="AQ4" s="2" t="n">
        <v>8.085000000000001</v>
      </c>
      <c r="AR4" s="2" t="n">
        <v>0.095</v>
      </c>
      <c r="AS4" s="2" t="n">
        <v>-1</v>
      </c>
      <c r="AT4" s="2" t="n">
        <v>1</v>
      </c>
      <c r="AU4" s="2" t="n">
        <v>8.085000000000001</v>
      </c>
      <c r="AV4" s="2" t="n">
        <v>0.095</v>
      </c>
      <c r="AW4" s="2" t="n">
        <v>0.8683999999999999</v>
      </c>
      <c r="AX4" s="2" t="n">
        <v>0.5</v>
      </c>
      <c r="AY4" s="2" t="n">
        <v>8.085000000000001</v>
      </c>
      <c r="AZ4" s="2" t="n">
        <v>0.095</v>
      </c>
      <c r="BA4" s="2" t="n">
        <v>0.00124</v>
      </c>
    </row>
    <row r="5">
      <c r="A5" s="2" t="inlineStr">
        <is>
          <t>2026-10-12</t>
        </is>
      </c>
      <c r="B5" s="2" t="inlineStr">
        <is>
          <t>10:08</t>
        </is>
      </c>
      <c r="C5" s="2" t="inlineStr">
        <is>
          <t>FRO</t>
        </is>
      </c>
      <c r="D5" s="2" t="n">
        <v>59</v>
      </c>
      <c r="E5" s="2" t="inlineStr">
        <is>
          <t>2026-10-12 10:07:00-04:00</t>
        </is>
      </c>
      <c r="F5" s="2" t="n"/>
      <c r="G5" s="2" t="inlineStr">
        <is>
          <t>off</t>
        </is>
      </c>
      <c r="H5" s="2" t="n">
        <v>0.295</v>
      </c>
      <c r="I5" s="2" t="inlineStr">
        <is>
          <t>breakeven</t>
        </is>
      </c>
      <c r="J5" s="2" t="inlineStr">
        <is>
          <t>vwap_pullback</t>
        </is>
      </c>
      <c r="K5" s="2" t="n">
        <v>38</v>
      </c>
      <c r="L5" s="2" t="n">
        <v>0.0543672573033096</v>
      </c>
      <c r="M5" s="2" t="n">
        <v>0.0392157009407818</v>
      </c>
      <c r="N5" s="2" t="n">
        <v>1.255078803847486</v>
      </c>
      <c r="O5" s="2" t="n">
        <v>0.0034936916684442</v>
      </c>
      <c r="P5" s="2" t="n">
        <v>0.0025359513441986</v>
      </c>
      <c r="Q5" s="2" t="n">
        <v>-0.0067170061512394</v>
      </c>
      <c r="R5" s="2" t="n">
        <v>0</v>
      </c>
      <c r="S5" s="2" t="n">
        <v>4.080076616221165</v>
      </c>
      <c r="T5" s="2" t="n">
        <v>-0.00077319925046</v>
      </c>
      <c r="U5" s="2" t="n">
        <v>1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0.5</v>
      </c>
      <c r="AD5" s="2" t="n">
        <v>1.5</v>
      </c>
      <c r="AE5" s="2" t="n">
        <v>59.13</v>
      </c>
      <c r="AF5" s="2" t="n">
        <v>0.13</v>
      </c>
      <c r="AG5" s="2" t="n">
        <v>-1</v>
      </c>
      <c r="AH5" s="2" t="n">
        <v>2</v>
      </c>
      <c r="AI5" s="2" t="n">
        <v>59.13</v>
      </c>
      <c r="AJ5" s="2" t="n">
        <v>0.13</v>
      </c>
      <c r="AK5" s="2" t="n">
        <v>0.5</v>
      </c>
      <c r="AL5" s="2" t="n">
        <v>1.5</v>
      </c>
      <c r="AM5" s="2" t="n">
        <v>59.13</v>
      </c>
      <c r="AN5" s="2" t="n">
        <v>0.13</v>
      </c>
      <c r="AO5" s="2" t="n">
        <v>0.5</v>
      </c>
      <c r="AP5" s="2" t="n">
        <v>0.5</v>
      </c>
      <c r="AQ5" s="2" t="n">
        <v>59.13</v>
      </c>
      <c r="AR5" s="2" t="n">
        <v>0.13</v>
      </c>
      <c r="AS5" s="2" t="n">
        <v>-1</v>
      </c>
      <c r="AT5" s="2" t="n">
        <v>1</v>
      </c>
      <c r="AU5" s="2" t="n">
        <v>59.13</v>
      </c>
      <c r="AV5" s="2" t="n">
        <v>0.13</v>
      </c>
      <c r="AW5" s="2" t="n">
        <v>0.5</v>
      </c>
      <c r="AX5" s="2" t="n">
        <v>0.5</v>
      </c>
      <c r="AY5" s="2" t="n">
        <v>59.13</v>
      </c>
      <c r="AZ5" s="2" t="n">
        <v>0.13</v>
      </c>
      <c r="BA5" s="2" t="n">
        <v>0.00051</v>
      </c>
    </row>
    <row r="6">
      <c r="A6" s="2" t="inlineStr">
        <is>
          <t>2026-10-12</t>
        </is>
      </c>
      <c r="B6" s="2" t="inlineStr">
        <is>
          <t>10:11</t>
        </is>
      </c>
      <c r="C6" s="2" t="inlineStr">
        <is>
          <t>BORR</t>
        </is>
      </c>
      <c r="D6" s="2" t="n">
        <v>5.09</v>
      </c>
      <c r="E6" s="2" t="inlineStr">
        <is>
          <t>2026-10-12 10:10:00-04:00</t>
        </is>
      </c>
      <c r="F6" s="2" t="n"/>
      <c r="G6" s="2" t="inlineStr">
        <is>
          <t>off</t>
        </is>
      </c>
      <c r="H6" s="2" t="n">
        <v>-1.333</v>
      </c>
      <c r="I6" s="2" t="inlineStr">
        <is>
          <t>stop</t>
        </is>
      </c>
      <c r="J6" s="2" t="inlineStr">
        <is>
          <t>vwap_pullback</t>
        </is>
      </c>
      <c r="K6" s="2" t="n">
        <v>41</v>
      </c>
      <c r="L6" s="2" t="n">
        <v>0.0732217341569114</v>
      </c>
      <c r="M6" s="2" t="n">
        <v>0.0313806719553027</v>
      </c>
      <c r="N6" s="2" t="n">
        <v>1.820422310158065</v>
      </c>
      <c r="O6" s="2" t="n">
        <v>0.0054366735747528</v>
      </c>
      <c r="P6" s="2" t="n">
        <v>0.0077972930893935</v>
      </c>
      <c r="Q6" s="2" t="n">
        <v>-0.0191204405865917</v>
      </c>
      <c r="R6" s="2" t="n">
        <v>0</v>
      </c>
      <c r="S6" s="2" t="n">
        <v>1.635105681490849</v>
      </c>
      <c r="T6" s="2" t="n">
        <v>-0.000770769038885</v>
      </c>
      <c r="U6" s="2" t="n">
        <v>1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-1</v>
      </c>
      <c r="AD6" s="2" t="n">
        <v>2</v>
      </c>
      <c r="AE6" s="2" t="n">
        <v>5.13</v>
      </c>
      <c r="AF6" s="2" t="n">
        <v>0.04</v>
      </c>
      <c r="AG6" s="2" t="n">
        <v>-1</v>
      </c>
      <c r="AH6" s="2" t="n">
        <v>2</v>
      </c>
      <c r="AI6" s="2" t="n">
        <v>5.13</v>
      </c>
      <c r="AJ6" s="2" t="n">
        <v>0.04</v>
      </c>
      <c r="AK6" s="2" t="n">
        <v>-1</v>
      </c>
      <c r="AL6" s="2" t="n">
        <v>2</v>
      </c>
      <c r="AM6" s="2" t="n">
        <v>5.13</v>
      </c>
      <c r="AN6" s="2" t="n">
        <v>0.04</v>
      </c>
      <c r="AO6" s="2" t="n">
        <v>-1</v>
      </c>
      <c r="AP6" s="2" t="n">
        <v>1</v>
      </c>
      <c r="AQ6" s="2" t="n">
        <v>5.13</v>
      </c>
      <c r="AR6" s="2" t="n">
        <v>0.04</v>
      </c>
      <c r="AS6" s="2" t="n">
        <v>-1</v>
      </c>
      <c r="AT6" s="2" t="n">
        <v>1</v>
      </c>
      <c r="AU6" s="2" t="n">
        <v>5.13</v>
      </c>
      <c r="AV6" s="2" t="n">
        <v>0.04</v>
      </c>
      <c r="AW6" s="2" t="n">
        <v>-1</v>
      </c>
      <c r="AX6" s="2" t="n">
        <v>1</v>
      </c>
      <c r="AY6" s="2" t="n">
        <v>5.13</v>
      </c>
      <c r="AZ6" s="2" t="n">
        <v>0.04</v>
      </c>
      <c r="BA6" s="2" t="n">
        <v>0.00195</v>
      </c>
    </row>
    <row r="7">
      <c r="A7" s="2" t="inlineStr">
        <is>
          <t>2026-10-12</t>
        </is>
      </c>
      <c r="B7" s="2" t="inlineStr">
        <is>
          <t>10:15</t>
        </is>
      </c>
      <c r="C7" s="2" t="inlineStr">
        <is>
          <t>FRO</t>
        </is>
      </c>
      <c r="D7" s="2" t="n">
        <v>58.93</v>
      </c>
      <c r="E7" s="2" t="inlineStr">
        <is>
          <t>2026-10-12 10:14:00-04:00</t>
        </is>
      </c>
      <c r="F7" s="2" t="n"/>
      <c r="G7" s="2" t="inlineStr">
        <is>
          <t>off</t>
        </is>
      </c>
      <c r="H7" s="2" t="n">
        <v>-1.184</v>
      </c>
      <c r="I7" s="2" t="inlineStr">
        <is>
          <t>stop</t>
        </is>
      </c>
      <c r="J7" s="2" t="inlineStr">
        <is>
          <t>ema_bounce</t>
        </is>
      </c>
      <c r="K7" s="2" t="n">
        <v>45</v>
      </c>
      <c r="L7" s="2" t="n">
        <v>0.057575818980166</v>
      </c>
      <c r="M7" s="2" t="n">
        <v>0.0392157009407818</v>
      </c>
      <c r="N7" s="2" t="n">
        <v>1.222426137305668</v>
      </c>
      <c r="O7" s="2" t="n">
        <v>0.005877350454889</v>
      </c>
      <c r="P7" s="2" t="n">
        <v>0.0067419824491783</v>
      </c>
      <c r="Q7" s="2" t="n">
        <v>-0.0036943309626265</v>
      </c>
      <c r="R7" s="2" t="n">
        <v>0</v>
      </c>
      <c r="S7" s="2" t="n">
        <v>4.083115111132757</v>
      </c>
      <c r="T7" s="2" t="n">
        <v>-0.0010018743202756</v>
      </c>
      <c r="U7" s="2" t="n">
        <v>1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-1</v>
      </c>
      <c r="AD7" s="2" t="n">
        <v>2</v>
      </c>
      <c r="AE7" s="2" t="n">
        <v>59.33</v>
      </c>
      <c r="AF7" s="2" t="n">
        <v>0.4</v>
      </c>
      <c r="AG7" s="2" t="n">
        <v>-1</v>
      </c>
      <c r="AH7" s="2" t="n">
        <v>2</v>
      </c>
      <c r="AI7" s="2" t="n">
        <v>59.33</v>
      </c>
      <c r="AJ7" s="2" t="n">
        <v>0.4</v>
      </c>
      <c r="AK7" s="2" t="n">
        <v>-1</v>
      </c>
      <c r="AL7" s="2" t="n">
        <v>2</v>
      </c>
      <c r="AM7" s="2" t="n">
        <v>59.33</v>
      </c>
      <c r="AN7" s="2" t="n">
        <v>0.4</v>
      </c>
      <c r="AO7" s="2" t="n">
        <v>-1</v>
      </c>
      <c r="AP7" s="2" t="n">
        <v>1</v>
      </c>
      <c r="AQ7" s="2" t="n">
        <v>59.33</v>
      </c>
      <c r="AR7" s="2" t="n">
        <v>0.4</v>
      </c>
      <c r="AS7" s="2" t="n">
        <v>-1</v>
      </c>
      <c r="AT7" s="2" t="n">
        <v>1</v>
      </c>
      <c r="AU7" s="2" t="n">
        <v>59.33</v>
      </c>
      <c r="AV7" s="2" t="n">
        <v>0.4</v>
      </c>
      <c r="AW7" s="2" t="n">
        <v>-1</v>
      </c>
      <c r="AX7" s="2" t="n">
        <v>1</v>
      </c>
      <c r="AY7" s="2" t="n">
        <v>59.33</v>
      </c>
      <c r="AZ7" s="2" t="n">
        <v>0.4</v>
      </c>
      <c r="BA7" s="2" t="n">
        <v>0.00034</v>
      </c>
    </row>
    <row r="8">
      <c r="A8" s="2" t="inlineStr">
        <is>
          <t>2026-10-12</t>
        </is>
      </c>
      <c r="B8" s="2" t="inlineStr">
        <is>
          <t>10:16</t>
        </is>
      </c>
      <c r="C8" s="2" t="inlineStr">
        <is>
          <t>ASTS</t>
        </is>
      </c>
      <c r="D8" s="2" t="n">
        <v>53.3</v>
      </c>
      <c r="E8" s="2" t="inlineStr">
        <is>
          <t>2026-10-12 10:15:00-04:00</t>
        </is>
      </c>
      <c r="F8" s="2" t="n"/>
      <c r="G8" s="2" t="inlineStr">
        <is>
          <t>off</t>
        </is>
      </c>
      <c r="H8" s="2" t="n">
        <v>-1.146</v>
      </c>
      <c r="I8" s="2" t="inlineStr">
        <is>
          <t>stop</t>
        </is>
      </c>
      <c r="J8" s="2" t="inlineStr">
        <is>
          <t>ema_bounce</t>
        </is>
      </c>
      <c r="K8" s="2" t="n">
        <v>46</v>
      </c>
      <c r="L8" s="2" t="n">
        <v>0.05514765569208</v>
      </c>
      <c r="M8" s="2" t="n">
        <v>0.0468949157753917</v>
      </c>
      <c r="N8" s="2" t="n">
        <v>1.928424887365185</v>
      </c>
      <c r="O8" s="2" t="n">
        <v>0.0034825060184098</v>
      </c>
      <c r="P8" s="2" t="n">
        <v>0.0088441677920282</v>
      </c>
      <c r="Q8" s="2" t="n">
        <v>-0.0163599371785557</v>
      </c>
      <c r="R8" s="2" t="n">
        <v>0</v>
      </c>
      <c r="S8" s="2" t="n">
        <v>3.984819840751144</v>
      </c>
      <c r="T8" s="2" t="n">
        <v>-0.0006101398931694</v>
      </c>
      <c r="U8" s="2" t="n">
        <v>1</v>
      </c>
      <c r="V8" s="2" t="n">
        <v>0</v>
      </c>
      <c r="W8" s="2" t="n">
        <v>0</v>
      </c>
      <c r="X8" s="2" t="n">
        <v>0</v>
      </c>
      <c r="Y8" s="2" t="n">
        <v>1</v>
      </c>
      <c r="Z8" s="2" t="n">
        <v>0</v>
      </c>
      <c r="AA8" s="2" t="n">
        <v>0</v>
      </c>
      <c r="AB8" s="2" t="n">
        <v>0</v>
      </c>
      <c r="AC8" s="2" t="n">
        <v>-1</v>
      </c>
      <c r="AD8" s="2" t="n">
        <v>2</v>
      </c>
      <c r="AE8" s="2" t="n">
        <v>53.7683</v>
      </c>
      <c r="AF8" s="2" t="n">
        <v>0.4683</v>
      </c>
      <c r="AG8" s="2" t="n">
        <v>-1</v>
      </c>
      <c r="AH8" s="2" t="n">
        <v>2</v>
      </c>
      <c r="AI8" s="2" t="n">
        <v>53.7683</v>
      </c>
      <c r="AJ8" s="2" t="n">
        <v>0.4683</v>
      </c>
      <c r="AK8" s="2" t="n">
        <v>-1</v>
      </c>
      <c r="AL8" s="2" t="n">
        <v>2</v>
      </c>
      <c r="AM8" s="2" t="n">
        <v>53.7683</v>
      </c>
      <c r="AN8" s="2" t="n">
        <v>0.4683</v>
      </c>
      <c r="AO8" s="2" t="n">
        <v>-1</v>
      </c>
      <c r="AP8" s="2" t="n">
        <v>1</v>
      </c>
      <c r="AQ8" s="2" t="n">
        <v>53.7683</v>
      </c>
      <c r="AR8" s="2" t="n">
        <v>0.4683</v>
      </c>
      <c r="AS8" s="2" t="n">
        <v>-1</v>
      </c>
      <c r="AT8" s="2" t="n">
        <v>1</v>
      </c>
      <c r="AU8" s="2" t="n">
        <v>53.7683</v>
      </c>
      <c r="AV8" s="2" t="n">
        <v>0.4683</v>
      </c>
      <c r="AW8" s="2" t="n">
        <v>-1</v>
      </c>
      <c r="AX8" s="2" t="n">
        <v>1</v>
      </c>
      <c r="AY8" s="2" t="n">
        <v>53.7683</v>
      </c>
      <c r="AZ8" s="2" t="n">
        <v>0.4683</v>
      </c>
      <c r="BA8" s="2" t="n">
        <v>0.00056</v>
      </c>
    </row>
    <row r="9">
      <c r="A9" s="2" t="inlineStr">
        <is>
          <t>2026-10-12</t>
        </is>
      </c>
      <c r="B9" s="2" t="inlineStr">
        <is>
          <t>10:17</t>
        </is>
      </c>
      <c r="C9" s="2" t="inlineStr">
        <is>
          <t>DHT</t>
        </is>
      </c>
      <c r="D9" s="2" t="n">
        <v>26.11</v>
      </c>
      <c r="E9" s="2" t="inlineStr">
        <is>
          <t>2026-10-12 10:16:00-04:00</t>
        </is>
      </c>
      <c r="F9" s="2" t="n"/>
      <c r="G9" s="2" t="inlineStr">
        <is>
          <t>off</t>
        </is>
      </c>
      <c r="H9" s="2" t="n">
        <v>-1.14</v>
      </c>
      <c r="I9" s="2" t="inlineStr">
        <is>
          <t>stop</t>
        </is>
      </c>
      <c r="J9" s="2" t="inlineStr">
        <is>
          <t>ema_bounce</t>
        </is>
      </c>
      <c r="K9" s="2" t="n">
        <v>47</v>
      </c>
      <c r="L9" s="2" t="n">
        <v>0.0696022806440646</v>
      </c>
      <c r="M9" s="2" t="n">
        <v>0.0430195373193205</v>
      </c>
      <c r="N9" s="2" t="n">
        <v>1.402308060999881</v>
      </c>
      <c r="O9" s="2" t="n">
        <v>0.0109660213660354</v>
      </c>
      <c r="P9" s="2" t="n">
        <v>0.0092961315307061</v>
      </c>
      <c r="Q9" s="2" t="n">
        <v>-0.0043445324556599</v>
      </c>
      <c r="R9" s="2" t="n">
        <v>0</v>
      </c>
      <c r="S9" s="2" t="n">
        <v>3.271657992938031</v>
      </c>
      <c r="T9" s="2" t="n">
        <v>-0.0008580214738198</v>
      </c>
      <c r="U9" s="2" t="n">
        <v>1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-1</v>
      </c>
      <c r="AD9" s="2" t="n">
        <v>2</v>
      </c>
      <c r="AE9" s="2" t="n">
        <v>26.355</v>
      </c>
      <c r="AF9" s="2" t="n">
        <v>0.245</v>
      </c>
      <c r="AG9" s="2" t="n">
        <v>-1</v>
      </c>
      <c r="AH9" s="2" t="n">
        <v>2</v>
      </c>
      <c r="AI9" s="2" t="n">
        <v>26.355</v>
      </c>
      <c r="AJ9" s="2" t="n">
        <v>0.245</v>
      </c>
      <c r="AK9" s="2" t="n">
        <v>-1</v>
      </c>
      <c r="AL9" s="2" t="n">
        <v>2</v>
      </c>
      <c r="AM9" s="2" t="n">
        <v>26.355</v>
      </c>
      <c r="AN9" s="2" t="n">
        <v>0.245</v>
      </c>
      <c r="AO9" s="2" t="n">
        <v>-1</v>
      </c>
      <c r="AP9" s="2" t="n">
        <v>1</v>
      </c>
      <c r="AQ9" s="2" t="n">
        <v>26.355</v>
      </c>
      <c r="AR9" s="2" t="n">
        <v>0.245</v>
      </c>
      <c r="AS9" s="2" t="n">
        <v>-1</v>
      </c>
      <c r="AT9" s="2" t="n">
        <v>1</v>
      </c>
      <c r="AU9" s="2" t="n">
        <v>26.355</v>
      </c>
      <c r="AV9" s="2" t="n">
        <v>0.245</v>
      </c>
      <c r="AW9" s="2" t="n">
        <v>-1</v>
      </c>
      <c r="AX9" s="2" t="n">
        <v>1</v>
      </c>
      <c r="AY9" s="2" t="n">
        <v>26.355</v>
      </c>
      <c r="AZ9" s="2" t="n">
        <v>0.245</v>
      </c>
      <c r="BA9" s="2" t="n">
        <v>0.00038</v>
      </c>
    </row>
    <row r="10">
      <c r="A10" s="2" t="inlineStr">
        <is>
          <t>2026-10-12</t>
        </is>
      </c>
      <c r="B10" s="2" t="inlineStr">
        <is>
          <t>10:24</t>
        </is>
      </c>
      <c r="C10" s="2" t="inlineStr">
        <is>
          <t>ALHC</t>
        </is>
      </c>
      <c r="D10" s="2" t="n">
        <v>7.99</v>
      </c>
      <c r="E10" s="2" t="inlineStr">
        <is>
          <t>2026-10-12 10:23:00-04:00</t>
        </is>
      </c>
      <c r="F10" s="2" t="n"/>
      <c r="G10" s="2" t="inlineStr">
        <is>
          <t>off</t>
        </is>
      </c>
      <c r="H10" s="2" t="n">
        <v>-1.16</v>
      </c>
      <c r="I10" s="2" t="inlineStr">
        <is>
          <t>stop</t>
        </is>
      </c>
      <c r="J10" s="2" t="inlineStr">
        <is>
          <t>ema_bounce</t>
        </is>
      </c>
      <c r="K10" s="2" t="n">
        <v>54</v>
      </c>
      <c r="L10" s="2" t="n">
        <v>0.0730020302076495</v>
      </c>
      <c r="M10" s="2" t="n">
        <v>-0.0072896361324885</v>
      </c>
      <c r="N10" s="2" t="n">
        <v>0.7360149296663375</v>
      </c>
      <c r="O10" s="2" t="n">
        <v>0.0200700883285549</v>
      </c>
      <c r="P10" s="2" t="n">
        <v>0.0130685533925891</v>
      </c>
      <c r="Q10" s="2" t="n">
        <v>-0.0017508332303419</v>
      </c>
      <c r="R10" s="2" t="n">
        <v>0</v>
      </c>
      <c r="S10" s="2" t="n">
        <v>2.091345458063853</v>
      </c>
      <c r="T10" s="2" t="n">
        <v>-0.0008091820605544</v>
      </c>
      <c r="U10" s="2" t="n">
        <v>1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-1</v>
      </c>
      <c r="AD10" s="2" t="n">
        <v>2</v>
      </c>
      <c r="AE10" s="2" t="n">
        <v>8.095000000000001</v>
      </c>
      <c r="AF10" s="2" t="n">
        <v>0.105</v>
      </c>
      <c r="AG10" s="2" t="n">
        <v>-1</v>
      </c>
      <c r="AH10" s="2" t="n">
        <v>2</v>
      </c>
      <c r="AI10" s="2" t="n">
        <v>8.095000000000001</v>
      </c>
      <c r="AJ10" s="2" t="n">
        <v>0.105</v>
      </c>
      <c r="AK10" s="2" t="n">
        <v>-1</v>
      </c>
      <c r="AL10" s="2" t="n">
        <v>2</v>
      </c>
      <c r="AM10" s="2" t="n">
        <v>8.095000000000001</v>
      </c>
      <c r="AN10" s="2" t="n">
        <v>0.105</v>
      </c>
      <c r="AO10" s="2" t="n">
        <v>-1</v>
      </c>
      <c r="AP10" s="2" t="n">
        <v>1</v>
      </c>
      <c r="AQ10" s="2" t="n">
        <v>8.095000000000001</v>
      </c>
      <c r="AR10" s="2" t="n">
        <v>0.105</v>
      </c>
      <c r="AS10" s="2" t="n">
        <v>-1</v>
      </c>
      <c r="AT10" s="2" t="n">
        <v>1</v>
      </c>
      <c r="AU10" s="2" t="n">
        <v>8.095000000000001</v>
      </c>
      <c r="AV10" s="2" t="n">
        <v>0.105</v>
      </c>
      <c r="AW10" s="2" t="n">
        <v>-1</v>
      </c>
      <c r="AX10" s="2" t="n">
        <v>1</v>
      </c>
      <c r="AY10" s="2" t="n">
        <v>8.095000000000001</v>
      </c>
      <c r="AZ10" s="2" t="n">
        <v>0.105</v>
      </c>
      <c r="BA10" s="2" t="n">
        <v>0.00124</v>
      </c>
    </row>
    <row r="11">
      <c r="A11" s="2" t="inlineStr">
        <is>
          <t>2026-10-12</t>
        </is>
      </c>
      <c r="B11" s="2" t="inlineStr">
        <is>
          <t>10:28</t>
        </is>
      </c>
      <c r="C11" s="2" t="inlineStr">
        <is>
          <t>DHT</t>
        </is>
      </c>
      <c r="D11" s="2" t="n">
        <v>26.15</v>
      </c>
      <c r="E11" s="2" t="inlineStr">
        <is>
          <t>2026-10-12 10:27:00-04:00</t>
        </is>
      </c>
      <c r="F11" s="2" t="n"/>
      <c r="G11" s="2" t="inlineStr">
        <is>
          <t>off</t>
        </is>
      </c>
      <c r="H11" s="2" t="n">
        <v>-1.5</v>
      </c>
      <c r="I11" s="2" t="inlineStr">
        <is>
          <t>stop</t>
        </is>
      </c>
      <c r="J11" s="2" t="inlineStr">
        <is>
          <t>vwap_pullback</t>
        </is>
      </c>
      <c r="K11" s="2" t="n">
        <v>58</v>
      </c>
      <c r="L11" s="2" t="n">
        <v>0.0625000387043157</v>
      </c>
      <c r="M11" s="2" t="n">
        <v>0.0430195373193205</v>
      </c>
      <c r="N11" s="2" t="n">
        <v>1.312510582060029</v>
      </c>
      <c r="O11" s="2" t="n">
        <v>0.0036134279806021</v>
      </c>
      <c r="P11" s="2" t="n">
        <v>0.0011459245540899</v>
      </c>
      <c r="Q11" s="2" t="n">
        <v>-0.0109557618323171</v>
      </c>
      <c r="R11" s="2" t="n">
        <v>0</v>
      </c>
      <c r="S11" s="2" t="n">
        <v>3.264995772138583</v>
      </c>
      <c r="T11" s="2" t="n">
        <v>-0.0008864000735021</v>
      </c>
      <c r="U11" s="2" t="n">
        <v>1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1</v>
      </c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>
        <v>0.00038</v>
      </c>
    </row>
    <row r="12">
      <c r="A12" s="2" t="inlineStr">
        <is>
          <t>2026-10-12</t>
        </is>
      </c>
      <c r="B12" s="2" t="inlineStr">
        <is>
          <t>10:30</t>
        </is>
      </c>
      <c r="C12" s="2" t="inlineStr">
        <is>
          <t>CCC</t>
        </is>
      </c>
      <c r="D12" s="2" t="n">
        <v>7.61</v>
      </c>
      <c r="E12" s="2" t="inlineStr">
        <is>
          <t>2026-10-12 10:29:00-04:00</t>
        </is>
      </c>
      <c r="F12" s="2" t="n"/>
      <c r="G12" s="2" t="inlineStr">
        <is>
          <t>off</t>
        </is>
      </c>
      <c r="H12" s="2" t="n">
        <v>-0.804</v>
      </c>
      <c r="I12" s="2" t="inlineStr">
        <is>
          <t>time</t>
        </is>
      </c>
      <c r="J12" s="2" t="inlineStr">
        <is>
          <t>ema_bounce</t>
        </is>
      </c>
      <c r="K12" s="2" t="n">
        <v>60</v>
      </c>
      <c r="L12" s="2" t="n">
        <v>0.0962820490439924</v>
      </c>
      <c r="M12" s="2" t="n">
        <v>0.09401707253637349</v>
      </c>
      <c r="N12" s="2" t="n">
        <v>1.585311445735518</v>
      </c>
      <c r="O12" s="2" t="n">
        <v>0.008302855023506601</v>
      </c>
      <c r="P12" s="2" t="n">
        <v>0.0111617827398566</v>
      </c>
      <c r="Q12" s="2" t="n">
        <v>-0.0056976497472023</v>
      </c>
      <c r="R12" s="2" t="n">
        <v>0</v>
      </c>
      <c r="S12" s="2" t="n">
        <v>2.040687714757472</v>
      </c>
      <c r="T12" s="2" t="n">
        <v>-0.0008220386637254</v>
      </c>
      <c r="U12" s="2" t="n">
        <v>1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-0.5116000000000001</v>
      </c>
      <c r="AD12" s="2" t="n">
        <v>2</v>
      </c>
      <c r="AE12" s="2" t="n">
        <v>7.6919</v>
      </c>
      <c r="AF12" s="2" t="n">
        <v>0.0819</v>
      </c>
      <c r="AG12" s="2" t="n">
        <v>-0.5116000000000001</v>
      </c>
      <c r="AH12" s="2" t="n">
        <v>2</v>
      </c>
      <c r="AI12" s="2" t="n">
        <v>7.6919</v>
      </c>
      <c r="AJ12" s="2" t="n">
        <v>0.0819</v>
      </c>
      <c r="AK12" s="2" t="n">
        <v>-0.5116000000000001</v>
      </c>
      <c r="AL12" s="2" t="n">
        <v>2</v>
      </c>
      <c r="AM12" s="2" t="n">
        <v>7.6919</v>
      </c>
      <c r="AN12" s="2" t="n">
        <v>0.0819</v>
      </c>
      <c r="AO12" s="2" t="n">
        <v>-0.5116000000000001</v>
      </c>
      <c r="AP12" s="2" t="n">
        <v>1</v>
      </c>
      <c r="AQ12" s="2" t="n">
        <v>7.6919</v>
      </c>
      <c r="AR12" s="2" t="n">
        <v>0.0819</v>
      </c>
      <c r="AS12" s="2" t="n">
        <v>-0.5116000000000001</v>
      </c>
      <c r="AT12" s="2" t="n">
        <v>1</v>
      </c>
      <c r="AU12" s="2" t="n">
        <v>7.6919</v>
      </c>
      <c r="AV12" s="2" t="n">
        <v>0.0819</v>
      </c>
      <c r="AW12" s="2" t="n">
        <v>-0.5116000000000001</v>
      </c>
      <c r="AX12" s="2" t="n">
        <v>1</v>
      </c>
      <c r="AY12" s="2" t="n">
        <v>7.6919</v>
      </c>
      <c r="AZ12" s="2" t="n">
        <v>0.0819</v>
      </c>
      <c r="BA12" s="2" t="n">
        <v>0.0013</v>
      </c>
    </row>
    <row r="13">
      <c r="A13" s="2" t="inlineStr">
        <is>
          <t>2026-10-12</t>
        </is>
      </c>
      <c r="B13" s="2" t="inlineStr">
        <is>
          <t>10:31</t>
        </is>
      </c>
      <c r="C13" s="2" t="inlineStr">
        <is>
          <t>ASTS</t>
        </is>
      </c>
      <c r="D13" s="2" t="n">
        <v>53.32</v>
      </c>
      <c r="E13" s="2" t="inlineStr">
        <is>
          <t>2026-10-12 10:30:00-04:00</t>
        </is>
      </c>
      <c r="F13" s="2" t="n"/>
      <c r="G13" s="2" t="inlineStr">
        <is>
          <t>off</t>
        </is>
      </c>
      <c r="H13" s="2" t="n">
        <v>-1.229</v>
      </c>
      <c r="I13" s="2" t="inlineStr">
        <is>
          <t>stop</t>
        </is>
      </c>
      <c r="J13" s="2" t="inlineStr">
        <is>
          <t>vwap_pullback</t>
        </is>
      </c>
      <c r="K13" s="2" t="n">
        <v>61</v>
      </c>
      <c r="L13" s="2" t="n">
        <v>0.0524869857559435</v>
      </c>
      <c r="M13" s="2" t="n">
        <v>0.0468949157753917</v>
      </c>
      <c r="N13" s="2" t="n">
        <v>1.77337282468267</v>
      </c>
      <c r="O13" s="2" t="n">
        <v>0.0008088179889735</v>
      </c>
      <c r="P13" s="2" t="n">
        <v>0.005965685930082</v>
      </c>
      <c r="Q13" s="2" t="n">
        <v>-0.018840292917404</v>
      </c>
      <c r="R13" s="2" t="n">
        <v>0</v>
      </c>
      <c r="S13" s="2" t="n">
        <v>3.982295047034813</v>
      </c>
      <c r="T13" s="2" t="n">
        <v>-0.0007578340417923</v>
      </c>
      <c r="U13" s="2" t="n">
        <v>1</v>
      </c>
      <c r="V13" s="2" t="n">
        <v>0</v>
      </c>
      <c r="W13" s="2" t="n">
        <v>0</v>
      </c>
      <c r="X13" s="2" t="n">
        <v>0</v>
      </c>
      <c r="Y13" s="2" t="n">
        <v>1</v>
      </c>
      <c r="Z13" s="2" t="n">
        <v>0</v>
      </c>
      <c r="AA13" s="2" t="n">
        <v>0</v>
      </c>
      <c r="AB13" s="2" t="n">
        <v>0</v>
      </c>
      <c r="AC13" s="2" t="n">
        <v>-1</v>
      </c>
      <c r="AD13" s="2" t="n">
        <v>2</v>
      </c>
      <c r="AE13" s="2" t="n">
        <v>53.59</v>
      </c>
      <c r="AF13" s="2" t="n">
        <v>0.27</v>
      </c>
      <c r="AG13" s="2" t="n">
        <v>-1</v>
      </c>
      <c r="AH13" s="2" t="n">
        <v>2</v>
      </c>
      <c r="AI13" s="2" t="n">
        <v>53.59</v>
      </c>
      <c r="AJ13" s="2" t="n">
        <v>0.27</v>
      </c>
      <c r="AK13" s="2" t="n">
        <v>-1</v>
      </c>
      <c r="AL13" s="2" t="n">
        <v>2</v>
      </c>
      <c r="AM13" s="2" t="n">
        <v>53.59</v>
      </c>
      <c r="AN13" s="2" t="n">
        <v>0.27</v>
      </c>
      <c r="AO13" s="2" t="n">
        <v>-1</v>
      </c>
      <c r="AP13" s="2" t="n">
        <v>1</v>
      </c>
      <c r="AQ13" s="2" t="n">
        <v>53.59</v>
      </c>
      <c r="AR13" s="2" t="n">
        <v>0.27</v>
      </c>
      <c r="AS13" s="2" t="n">
        <v>-1</v>
      </c>
      <c r="AT13" s="2" t="n">
        <v>1</v>
      </c>
      <c r="AU13" s="2" t="n">
        <v>53.59</v>
      </c>
      <c r="AV13" s="2" t="n">
        <v>0.27</v>
      </c>
      <c r="AW13" s="2" t="n">
        <v>-1</v>
      </c>
      <c r="AX13" s="2" t="n">
        <v>1</v>
      </c>
      <c r="AY13" s="2" t="n">
        <v>53.59</v>
      </c>
      <c r="AZ13" s="2" t="n">
        <v>0.27</v>
      </c>
      <c r="BA13" s="2" t="n">
        <v>0.00056</v>
      </c>
    </row>
    <row r="14">
      <c r="A14" s="2" t="inlineStr">
        <is>
          <t>2026-10-12</t>
        </is>
      </c>
      <c r="B14" s="2" t="inlineStr">
        <is>
          <t>10:51</t>
        </is>
      </c>
      <c r="C14" s="2" t="inlineStr">
        <is>
          <t>CCC</t>
        </is>
      </c>
      <c r="D14" s="2" t="n">
        <v>7.63</v>
      </c>
      <c r="E14" s="2" t="inlineStr">
        <is>
          <t>2026-10-12 10:50:00-04:00</t>
        </is>
      </c>
      <c r="F14" s="2" t="n"/>
      <c r="G14" s="2" t="inlineStr">
        <is>
          <t>off</t>
        </is>
      </c>
      <c r="H14" s="2" t="n">
        <v>-1.444</v>
      </c>
      <c r="I14" s="2" t="inlineStr">
        <is>
          <t>stop</t>
        </is>
      </c>
      <c r="J14" s="2" t="inlineStr">
        <is>
          <t>vwap_pullback</t>
        </is>
      </c>
      <c r="K14" s="2" t="n">
        <v>81</v>
      </c>
      <c r="L14" s="2" t="n">
        <v>0.09045587330586111</v>
      </c>
      <c r="M14" s="2" t="n">
        <v>0.09401707253637349</v>
      </c>
      <c r="N14" s="2" t="n">
        <v>1.505277663549907</v>
      </c>
      <c r="O14" s="2" t="n">
        <v>0.0015377803020026</v>
      </c>
      <c r="P14" s="2" t="n">
        <v>0.0032658666392088</v>
      </c>
      <c r="Q14" s="2" t="n">
        <v>-0.0109818557911319</v>
      </c>
      <c r="R14" s="2" t="n">
        <v>0</v>
      </c>
      <c r="S14" s="2" t="n">
        <v>2.035359056517661</v>
      </c>
      <c r="T14" s="2" t="n">
        <v>-0.000748191589414</v>
      </c>
      <c r="U14" s="2" t="n">
        <v>1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-1</v>
      </c>
      <c r="AD14" s="2" t="n">
        <v>2</v>
      </c>
      <c r="AE14" s="2" t="n">
        <v>7.655</v>
      </c>
      <c r="AF14" s="2" t="n">
        <v>0.025</v>
      </c>
      <c r="AG14" s="2" t="n">
        <v>-1</v>
      </c>
      <c r="AH14" s="2" t="n">
        <v>2</v>
      </c>
      <c r="AI14" s="2" t="n">
        <v>7.655</v>
      </c>
      <c r="AJ14" s="2" t="n">
        <v>0.025</v>
      </c>
      <c r="AK14" s="2" t="n">
        <v>-1</v>
      </c>
      <c r="AL14" s="2" t="n">
        <v>2</v>
      </c>
      <c r="AM14" s="2" t="n">
        <v>7.655</v>
      </c>
      <c r="AN14" s="2" t="n">
        <v>0.025</v>
      </c>
      <c r="AO14" s="2" t="n">
        <v>-1</v>
      </c>
      <c r="AP14" s="2" t="n">
        <v>1</v>
      </c>
      <c r="AQ14" s="2" t="n">
        <v>7.655</v>
      </c>
      <c r="AR14" s="2" t="n">
        <v>0.025</v>
      </c>
      <c r="AS14" s="2" t="n">
        <v>-1</v>
      </c>
      <c r="AT14" s="2" t="n">
        <v>1</v>
      </c>
      <c r="AU14" s="2" t="n">
        <v>7.655</v>
      </c>
      <c r="AV14" s="2" t="n">
        <v>0.025</v>
      </c>
      <c r="AW14" s="2" t="n">
        <v>-1</v>
      </c>
      <c r="AX14" s="2" t="n">
        <v>1</v>
      </c>
      <c r="AY14" s="2" t="n">
        <v>7.655</v>
      </c>
      <c r="AZ14" s="2" t="n">
        <v>0.025</v>
      </c>
      <c r="BA14" s="2" t="n">
        <v>0.00131</v>
      </c>
    </row>
    <row r="15">
      <c r="A15" s="2" t="inlineStr">
        <is>
          <t>2026-10-12</t>
        </is>
      </c>
      <c r="B15" s="2" t="inlineStr">
        <is>
          <t>12:29</t>
        </is>
      </c>
      <c r="C15" s="2" t="inlineStr">
        <is>
          <t>ECO</t>
        </is>
      </c>
      <c r="D15" s="2" t="n">
        <v>98.06</v>
      </c>
      <c r="E15" s="2" t="inlineStr">
        <is>
          <t>2026-10-12 12:28:00-04:00</t>
        </is>
      </c>
      <c r="F15" s="2" t="n"/>
      <c r="G15" s="2" t="inlineStr">
        <is>
          <t>off</t>
        </is>
      </c>
      <c r="H15" s="2" t="n">
        <v>-1.469</v>
      </c>
      <c r="I15" s="2" t="inlineStr">
        <is>
          <t>stop</t>
        </is>
      </c>
      <c r="J15" s="2" t="inlineStr">
        <is>
          <t>vwap_pullback</t>
        </is>
      </c>
      <c r="K15" s="2" t="n">
        <v>179</v>
      </c>
      <c r="L15" s="2" t="n">
        <v>0.0550960930060142</v>
      </c>
      <c r="M15" s="2" t="n">
        <v>0.04027494335107</v>
      </c>
      <c r="N15" s="2" t="n">
        <v>1.100538159906054</v>
      </c>
      <c r="O15" s="2" t="n">
        <v>0.0007194167575228</v>
      </c>
      <c r="P15" s="2" t="n">
        <v>0.001832225851828</v>
      </c>
      <c r="Q15" s="2" t="n">
        <v>-0.008978103644785001</v>
      </c>
      <c r="R15" s="2" t="n">
        <v>0</v>
      </c>
      <c r="S15" s="2" t="n">
        <v>4.587413442653815</v>
      </c>
      <c r="T15" s="2" t="n">
        <v>-0.0005779983852419</v>
      </c>
      <c r="U15" s="2" t="n">
        <v>1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>
        <v>0.00326</v>
      </c>
    </row>
    <row r="16">
      <c r="A16" s="2" t="inlineStr">
        <is>
          <t>2026-10-12</t>
        </is>
      </c>
      <c r="B16" s="2" t="inlineStr">
        <is>
          <t>12:29</t>
        </is>
      </c>
      <c r="C16" s="2" t="inlineStr">
        <is>
          <t>ECO</t>
        </is>
      </c>
      <c r="D16" s="2" t="n">
        <v>97.70999999999999</v>
      </c>
      <c r="E16" s="2" t="inlineStr">
        <is>
          <t>2026-10-12 12:28:00-04:00</t>
        </is>
      </c>
      <c r="F16" s="2" t="n"/>
      <c r="G16" s="2" t="inlineStr">
        <is>
          <t>off</t>
        </is>
      </c>
      <c r="H16" s="2" t="n">
        <v>0.388</v>
      </c>
      <c r="I16" s="2" t="inlineStr">
        <is>
          <t>breakeven</t>
        </is>
      </c>
      <c r="J16" s="2" t="inlineStr">
        <is>
          <t>ema_bounce</t>
        </is>
      </c>
      <c r="K16" s="2" t="n">
        <v>179</v>
      </c>
      <c r="L16" s="2" t="n">
        <v>0.0550960930060142</v>
      </c>
      <c r="M16" s="2" t="n">
        <v>0.04027494335107</v>
      </c>
      <c r="N16" s="2" t="n">
        <v>1.100538159906054</v>
      </c>
      <c r="O16" s="2" t="n">
        <v>0.0007194167575228</v>
      </c>
      <c r="P16" s="2" t="n">
        <v>0.005394929512361</v>
      </c>
      <c r="Q16" s="2" t="n">
        <v>-0.008978103644785001</v>
      </c>
      <c r="R16" s="2" t="n">
        <v>0</v>
      </c>
      <c r="S16" s="2" t="n">
        <v>4.587413442653815</v>
      </c>
      <c r="T16" s="2" t="n">
        <v>-0.0005779983852419</v>
      </c>
      <c r="U16" s="2" t="n">
        <v>1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0.5</v>
      </c>
      <c r="AD16" s="2" t="n">
        <v>1.5</v>
      </c>
      <c r="AE16" s="2" t="n">
        <v>98.23</v>
      </c>
      <c r="AF16" s="2" t="n">
        <v>0.52</v>
      </c>
      <c r="AG16" s="2" t="n">
        <v>0.1346</v>
      </c>
      <c r="AH16" s="2" t="n">
        <v>2</v>
      </c>
      <c r="AI16" s="2" t="n">
        <v>98.23</v>
      </c>
      <c r="AJ16" s="2" t="n">
        <v>0.52</v>
      </c>
      <c r="AK16" s="2" t="n">
        <v>0.7786</v>
      </c>
      <c r="AL16" s="2" t="n">
        <v>1.5</v>
      </c>
      <c r="AM16" s="2" t="n">
        <v>98.23</v>
      </c>
      <c r="AN16" s="2" t="n">
        <v>0.52</v>
      </c>
      <c r="AO16" s="2" t="n">
        <v>0.5</v>
      </c>
      <c r="AP16" s="2" t="n">
        <v>0.5</v>
      </c>
      <c r="AQ16" s="2" t="n">
        <v>98.23</v>
      </c>
      <c r="AR16" s="2" t="n">
        <v>0.52</v>
      </c>
      <c r="AS16" s="2" t="n">
        <v>0.1346</v>
      </c>
      <c r="AT16" s="2" t="n">
        <v>1</v>
      </c>
      <c r="AU16" s="2" t="n">
        <v>98.23</v>
      </c>
      <c r="AV16" s="2" t="n">
        <v>0.52</v>
      </c>
      <c r="AW16" s="2" t="n">
        <v>0.7786</v>
      </c>
      <c r="AX16" s="2" t="n">
        <v>0.5</v>
      </c>
      <c r="AY16" s="2" t="n">
        <v>98.23</v>
      </c>
      <c r="AZ16" s="2" t="n">
        <v>0.52</v>
      </c>
      <c r="BA16" s="2" t="n">
        <v>0.00326</v>
      </c>
    </row>
    <row r="17">
      <c r="A17" s="2" t="inlineStr">
        <is>
          <t>2026-10-12</t>
        </is>
      </c>
      <c r="B17" s="2" t="inlineStr">
        <is>
          <t>12:29</t>
        </is>
      </c>
      <c r="C17" s="2" t="inlineStr">
        <is>
          <t>MDT</t>
        </is>
      </c>
      <c r="D17" s="2" t="n">
        <v>91.15000000000001</v>
      </c>
      <c r="E17" s="2" t="inlineStr">
        <is>
          <t>2026-10-12 12:28:00-04:00</t>
        </is>
      </c>
      <c r="F17" s="2" t="n"/>
      <c r="G17" s="2" t="inlineStr">
        <is>
          <t>off</t>
        </is>
      </c>
      <c r="H17" s="2" t="n">
        <v>-0.441</v>
      </c>
      <c r="I17" s="2" t="inlineStr">
        <is>
          <t>time</t>
        </is>
      </c>
      <c r="J17" s="2" t="inlineStr">
        <is>
          <t>ema_bounce</t>
        </is>
      </c>
      <c r="K17" s="2" t="n">
        <v>179</v>
      </c>
      <c r="L17" s="2" t="n">
        <v>0.0373609228600813</v>
      </c>
      <c r="M17" s="2" t="n">
        <v>0.0257685204881743</v>
      </c>
      <c r="N17" s="2" t="n">
        <v>1.349430504448384</v>
      </c>
      <c r="O17" s="2" t="n">
        <v>0.0003337696383742</v>
      </c>
      <c r="P17" s="2" t="n">
        <v>0.0069258931543775</v>
      </c>
      <c r="Q17" s="2" t="n">
        <v>-0.0116755117637833</v>
      </c>
      <c r="R17" s="2" t="n">
        <v>0</v>
      </c>
      <c r="S17" s="2" t="n">
        <v>4.519456489595886</v>
      </c>
      <c r="T17" s="2" t="n">
        <v>-0.0005779983852419</v>
      </c>
      <c r="U17" s="2" t="n">
        <v>1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-0.1</v>
      </c>
      <c r="AD17" s="2" t="n">
        <v>2</v>
      </c>
      <c r="AE17" s="2" t="n">
        <v>91.79000000000001</v>
      </c>
      <c r="AF17" s="2" t="n">
        <v>0.64</v>
      </c>
      <c r="AG17" s="2" t="n">
        <v>-0.1</v>
      </c>
      <c r="AH17" s="2" t="n">
        <v>2</v>
      </c>
      <c r="AI17" s="2" t="n">
        <v>91.79000000000001</v>
      </c>
      <c r="AJ17" s="2" t="n">
        <v>0.64</v>
      </c>
      <c r="AK17" s="2" t="n">
        <v>-0.1</v>
      </c>
      <c r="AL17" s="2" t="n">
        <v>2</v>
      </c>
      <c r="AM17" s="2" t="n">
        <v>91.79000000000001</v>
      </c>
      <c r="AN17" s="2" t="n">
        <v>0.64</v>
      </c>
      <c r="AO17" s="2" t="n">
        <v>-0.0939</v>
      </c>
      <c r="AP17" s="2" t="n">
        <v>1</v>
      </c>
      <c r="AQ17" s="2" t="n">
        <v>91.78570000000001</v>
      </c>
      <c r="AR17" s="2" t="n">
        <v>0.6357</v>
      </c>
      <c r="AS17" s="2" t="n">
        <v>-0.0939</v>
      </c>
      <c r="AT17" s="2" t="n">
        <v>1</v>
      </c>
      <c r="AU17" s="2" t="n">
        <v>91.78570000000001</v>
      </c>
      <c r="AV17" s="2" t="n">
        <v>0.6357</v>
      </c>
      <c r="AW17" s="2" t="n">
        <v>-0.0939</v>
      </c>
      <c r="AX17" s="2" t="n">
        <v>1</v>
      </c>
      <c r="AY17" s="2" t="n">
        <v>91.78570000000001</v>
      </c>
      <c r="AZ17" s="2" t="n">
        <v>0.6357</v>
      </c>
      <c r="BA17" s="2" t="n">
        <v>0.00011</v>
      </c>
    </row>
    <row r="18">
      <c r="A18" s="2" t="inlineStr">
        <is>
          <t>2026-10-12</t>
        </is>
      </c>
      <c r="B18" s="2" t="inlineStr">
        <is>
          <t>12:48</t>
        </is>
      </c>
      <c r="C18" s="2" t="inlineStr">
        <is>
          <t>BORR</t>
        </is>
      </c>
      <c r="D18" s="2" t="n">
        <v>5.02</v>
      </c>
      <c r="E18" s="2" t="inlineStr">
        <is>
          <t>2026-10-12 12:47:00-04:00</t>
        </is>
      </c>
      <c r="F18" s="2" t="n"/>
      <c r="G18" s="2" t="inlineStr">
        <is>
          <t>off</t>
        </is>
      </c>
      <c r="H18" s="2" t="n">
        <v>-1.327</v>
      </c>
      <c r="I18" s="2" t="inlineStr">
        <is>
          <t>stop</t>
        </is>
      </c>
      <c r="J18" s="2" t="inlineStr">
        <is>
          <t>ema_bounce</t>
        </is>
      </c>
      <c r="K18" s="2" t="n">
        <v>198</v>
      </c>
      <c r="L18" s="2" t="n">
        <v>0.0606694454234457</v>
      </c>
      <c r="M18" s="2" t="n">
        <v>0.0313806719553027</v>
      </c>
      <c r="N18" s="2" t="n">
        <v>1.266054342798912</v>
      </c>
      <c r="O18" s="2" t="n">
        <v>0.0006515577644226</v>
      </c>
      <c r="P18" s="2" t="n">
        <v>0.009861966463206801</v>
      </c>
      <c r="Q18" s="2" t="n">
        <v>-0.0305927049385468</v>
      </c>
      <c r="R18" s="2" t="n">
        <v>0</v>
      </c>
      <c r="S18" s="2" t="n">
        <v>1.623340851461351</v>
      </c>
      <c r="T18" s="2" t="n">
        <v>-0.0006357747055896</v>
      </c>
      <c r="U18" s="2" t="n">
        <v>1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-1</v>
      </c>
      <c r="AD18" s="2" t="n">
        <v>2</v>
      </c>
      <c r="AE18" s="2" t="n">
        <v>5.0612</v>
      </c>
      <c r="AF18" s="2" t="n">
        <v>0.0412</v>
      </c>
      <c r="AG18" s="2" t="n">
        <v>-1</v>
      </c>
      <c r="AH18" s="2" t="n">
        <v>2</v>
      </c>
      <c r="AI18" s="2" t="n">
        <v>5.0612</v>
      </c>
      <c r="AJ18" s="2" t="n">
        <v>0.0412</v>
      </c>
      <c r="AK18" s="2" t="n">
        <v>-1</v>
      </c>
      <c r="AL18" s="2" t="n">
        <v>2</v>
      </c>
      <c r="AM18" s="2" t="n">
        <v>5.0612</v>
      </c>
      <c r="AN18" s="2" t="n">
        <v>0.0412</v>
      </c>
      <c r="AO18" s="2" t="n">
        <v>-1</v>
      </c>
      <c r="AP18" s="2" t="n">
        <v>1</v>
      </c>
      <c r="AQ18" s="2" t="n">
        <v>5.0612</v>
      </c>
      <c r="AR18" s="2" t="n">
        <v>0.0412</v>
      </c>
      <c r="AS18" s="2" t="n">
        <v>-1</v>
      </c>
      <c r="AT18" s="2" t="n">
        <v>1</v>
      </c>
      <c r="AU18" s="2" t="n">
        <v>5.0612</v>
      </c>
      <c r="AV18" s="2" t="n">
        <v>0.0412</v>
      </c>
      <c r="AW18" s="2" t="n">
        <v>-1</v>
      </c>
      <c r="AX18" s="2" t="n">
        <v>1</v>
      </c>
      <c r="AY18" s="2" t="n">
        <v>5.0612</v>
      </c>
      <c r="AZ18" s="2" t="n">
        <v>0.0412</v>
      </c>
      <c r="BA18" s="2" t="n">
        <v>0.00197</v>
      </c>
    </row>
    <row r="19">
      <c r="A19" s="2" t="inlineStr">
        <is>
          <t>2026-10-12</t>
        </is>
      </c>
      <c r="B19" s="2" t="inlineStr">
        <is>
          <t>13:45</t>
        </is>
      </c>
      <c r="C19" s="2" t="inlineStr">
        <is>
          <t>MDT</t>
        </is>
      </c>
      <c r="D19" s="2" t="n">
        <v>91.83</v>
      </c>
      <c r="E19" s="2" t="inlineStr">
        <is>
          <t>2026-10-12 13:44:00-04:00</t>
        </is>
      </c>
      <c r="F19" s="2" t="n"/>
      <c r="G19" s="2" t="inlineStr">
        <is>
          <t>off</t>
        </is>
      </c>
      <c r="H19" s="2" t="n">
        <v>-1.418</v>
      </c>
      <c r="I19" s="2" t="inlineStr">
        <is>
          <t>stop</t>
        </is>
      </c>
      <c r="J19" s="2" t="inlineStr">
        <is>
          <t>vwap_pullback</t>
        </is>
      </c>
      <c r="K19" s="2" t="n">
        <v>255</v>
      </c>
      <c r="L19" s="2" t="n">
        <v>0.0401220082241904</v>
      </c>
      <c r="M19" s="2" t="n">
        <v>0.0257685204881743</v>
      </c>
      <c r="N19" s="2" t="n">
        <v>1.139951345115782</v>
      </c>
      <c r="O19" s="2" t="n">
        <v>0.0029673559670504</v>
      </c>
      <c r="P19" s="2" t="n">
        <v>0.0021731911545115</v>
      </c>
      <c r="Q19" s="2" t="n">
        <v>-0.009044943926375301</v>
      </c>
      <c r="R19" s="2" t="n">
        <v>0</v>
      </c>
      <c r="S19" s="2" t="n">
        <v>4.522114597586579</v>
      </c>
      <c r="T19" s="2" t="n">
        <v>-0.0010789355453798</v>
      </c>
      <c r="U19" s="2" t="n">
        <v>1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-1</v>
      </c>
      <c r="AD19" s="2" t="n">
        <v>2</v>
      </c>
      <c r="AE19" s="2" t="n">
        <v>92.02500000000001</v>
      </c>
      <c r="AF19" s="2" t="n">
        <v>0.195</v>
      </c>
      <c r="AG19" s="2" t="n">
        <v>-1</v>
      </c>
      <c r="AH19" s="2" t="n">
        <v>2</v>
      </c>
      <c r="AI19" s="2" t="n">
        <v>92.02500000000001</v>
      </c>
      <c r="AJ19" s="2" t="n">
        <v>0.195</v>
      </c>
      <c r="AK19" s="2" t="n">
        <v>-1</v>
      </c>
      <c r="AL19" s="2" t="n">
        <v>2</v>
      </c>
      <c r="AM19" s="2" t="n">
        <v>92.02500000000001</v>
      </c>
      <c r="AN19" s="2" t="n">
        <v>0.195</v>
      </c>
      <c r="AO19" s="2" t="n">
        <v>-1</v>
      </c>
      <c r="AP19" s="2" t="n">
        <v>1</v>
      </c>
      <c r="AQ19" s="2" t="n">
        <v>92.02500000000001</v>
      </c>
      <c r="AR19" s="2" t="n">
        <v>0.195</v>
      </c>
      <c r="AS19" s="2" t="n">
        <v>-1</v>
      </c>
      <c r="AT19" s="2" t="n">
        <v>1</v>
      </c>
      <c r="AU19" s="2" t="n">
        <v>92.02500000000001</v>
      </c>
      <c r="AV19" s="2" t="n">
        <v>0.195</v>
      </c>
      <c r="AW19" s="2" t="n">
        <v>-1</v>
      </c>
      <c r="AX19" s="2" t="n">
        <v>1</v>
      </c>
      <c r="AY19" s="2" t="n">
        <v>92.02500000000001</v>
      </c>
      <c r="AZ19" s="2" t="n">
        <v>0.195</v>
      </c>
      <c r="BA19" s="2" t="n">
        <v>0.00011</v>
      </c>
    </row>
    <row r="20">
      <c r="A20" s="2" t="inlineStr">
        <is>
          <t>2026-10-12</t>
        </is>
      </c>
      <c r="B20" s="2" t="inlineStr">
        <is>
          <t>14:01</t>
        </is>
      </c>
      <c r="C20" s="2" t="inlineStr">
        <is>
          <t>ALHC</t>
        </is>
      </c>
      <c r="D20" s="2" t="n">
        <v>8.09</v>
      </c>
      <c r="E20" s="2" t="inlineStr">
        <is>
          <t>2026-10-12 14:00:00-04:00</t>
        </is>
      </c>
      <c r="F20" s="2" t="n"/>
      <c r="G20" s="2" t="inlineStr">
        <is>
          <t>off</t>
        </is>
      </c>
      <c r="H20" s="2" t="n">
        <v>0.323</v>
      </c>
      <c r="I20" s="2" t="inlineStr">
        <is>
          <t>breakeven</t>
        </is>
      </c>
      <c r="J20" s="2" t="inlineStr">
        <is>
          <t>vwap_pullback</t>
        </is>
      </c>
      <c r="K20" s="2" t="n">
        <v>271</v>
      </c>
      <c r="L20" s="2" t="n">
        <v>0.0768720898397852</v>
      </c>
      <c r="M20" s="2" t="n">
        <v>-0.0072896361324885</v>
      </c>
      <c r="N20" s="2" t="n">
        <v>0.4882064377610609</v>
      </c>
      <c r="O20" s="2" t="n">
        <v>0.0046530746490922</v>
      </c>
      <c r="P20" s="2" t="n">
        <v>0.0043076923076923</v>
      </c>
      <c r="Q20" s="2" t="n">
        <v>-0.0222623839079459</v>
      </c>
      <c r="R20" s="2" t="n">
        <v>0</v>
      </c>
      <c r="S20" s="2" t="n">
        <v>2.094945728215801</v>
      </c>
      <c r="T20" s="2" t="n">
        <v>-0.0011944881860751</v>
      </c>
      <c r="U20" s="2" t="n">
        <v>1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1.5</v>
      </c>
      <c r="AD20" s="2" t="n">
        <v>1</v>
      </c>
      <c r="AE20" s="2" t="n">
        <v>8.1265</v>
      </c>
      <c r="AF20" s="2" t="n">
        <v>0.0365</v>
      </c>
      <c r="AG20" s="2" t="n">
        <v>0.5069</v>
      </c>
      <c r="AH20" s="2" t="n">
        <v>2</v>
      </c>
      <c r="AI20" s="2" t="n">
        <v>8.1265</v>
      </c>
      <c r="AJ20" s="2" t="n">
        <v>0.0365</v>
      </c>
      <c r="AK20" s="2" t="n">
        <v>0.8219</v>
      </c>
      <c r="AL20" s="2" t="n">
        <v>1.5</v>
      </c>
      <c r="AM20" s="2" t="n">
        <v>8.1265</v>
      </c>
      <c r="AN20" s="2" t="n">
        <v>0.0365</v>
      </c>
      <c r="AO20" s="2" t="n">
        <v>1.5</v>
      </c>
      <c r="AP20" s="2" t="n">
        <v>0</v>
      </c>
      <c r="AQ20" s="2" t="n">
        <v>8.125</v>
      </c>
      <c r="AR20" s="2" t="n">
        <v>0.035</v>
      </c>
      <c r="AS20" s="2" t="n">
        <v>0.5714</v>
      </c>
      <c r="AT20" s="2" t="n">
        <v>1</v>
      </c>
      <c r="AU20" s="2" t="n">
        <v>8.125</v>
      </c>
      <c r="AV20" s="2" t="n">
        <v>0.035</v>
      </c>
      <c r="AW20" s="2" t="n">
        <v>0.8571</v>
      </c>
      <c r="AX20" s="2" t="n">
        <v>0.5</v>
      </c>
      <c r="AY20" s="2" t="n">
        <v>8.125</v>
      </c>
      <c r="AZ20" s="2" t="n">
        <v>0.035</v>
      </c>
      <c r="BA20" s="2" t="n">
        <v>0.00123</v>
      </c>
    </row>
    <row r="21">
      <c r="A21" s="2" t="inlineStr">
        <is>
          <t>2026-10-12</t>
        </is>
      </c>
      <c r="B21" s="2" t="inlineStr">
        <is>
          <t>15:30</t>
        </is>
      </c>
      <c r="C21" s="2" t="inlineStr">
        <is>
          <t>ECO</t>
        </is>
      </c>
      <c r="D21" s="2" t="n">
        <v>98.31999999999999</v>
      </c>
      <c r="E21" s="2" t="inlineStr">
        <is>
          <t>2026-10-12 15:29:00-04:00</t>
        </is>
      </c>
      <c r="F21" s="2" t="n"/>
      <c r="G21" s="2" t="inlineStr">
        <is>
          <t>off</t>
        </is>
      </c>
      <c r="H21" s="2" t="n"/>
      <c r="I21" s="2" t="n"/>
      <c r="J21" s="2" t="inlineStr">
        <is>
          <t>eod_squeeze</t>
        </is>
      </c>
      <c r="K21" s="2" t="n">
        <v>360</v>
      </c>
      <c r="L21" s="2" t="n">
        <v>0.0571453200125793</v>
      </c>
      <c r="M21" s="2" t="n">
        <v>0.04027494335107</v>
      </c>
      <c r="N21" s="2" t="n">
        <v>1.081601451181073</v>
      </c>
      <c r="O21" s="2" t="n">
        <v>0.0021181073993283</v>
      </c>
      <c r="P21" s="2" t="n">
        <v>0.0011256780401568</v>
      </c>
      <c r="Q21" s="2" t="n">
        <v>-0.0070533227195493</v>
      </c>
      <c r="R21" s="2" t="n">
        <v>0</v>
      </c>
      <c r="S21" s="2" t="n">
        <v>4.589353777349331</v>
      </c>
      <c r="T21" s="2" t="n">
        <v>-0.0016055075179378</v>
      </c>
      <c r="U21" s="2" t="n">
        <v>1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</row>
    <row r="22">
      <c r="A22" s="2" t="inlineStr">
        <is>
          <t>2026-10-12</t>
        </is>
      </c>
      <c r="B22" s="2" t="inlineStr">
        <is>
          <t>15:46</t>
        </is>
      </c>
      <c r="C22" s="2" t="inlineStr">
        <is>
          <t>ALHC</t>
        </is>
      </c>
      <c r="D22" s="2" t="n">
        <v>8.1</v>
      </c>
      <c r="E22" s="2" t="inlineStr">
        <is>
          <t>2026-10-12 15:45:00-04:00</t>
        </is>
      </c>
      <c r="F22" s="2" t="n"/>
      <c r="G22" s="2" t="inlineStr">
        <is>
          <t>off</t>
        </is>
      </c>
      <c r="H22" s="2" t="n"/>
      <c r="I22" s="2" t="n"/>
      <c r="J22" s="2" t="inlineStr">
        <is>
          <t>eod_squeeze</t>
        </is>
      </c>
      <c r="K22" s="2" t="n">
        <v>376</v>
      </c>
      <c r="L22" s="2" t="n">
        <v>0.0907885300219706</v>
      </c>
      <c r="M22" s="2" t="n">
        <v>-0.0072896361324885</v>
      </c>
      <c r="N22" s="2" t="n">
        <v>0.4329119846571669</v>
      </c>
      <c r="O22" s="2" t="n">
        <v>0.0161551673572555</v>
      </c>
      <c r="P22" s="2" t="n">
        <v>0.0157958140300216</v>
      </c>
      <c r="Q22" s="2" t="n">
        <v>-0.009627060570480701</v>
      </c>
      <c r="R22" s="2" t="n">
        <v>0</v>
      </c>
      <c r="S22" s="2" t="n">
        <v>2.107785959067632</v>
      </c>
      <c r="T22" s="2" t="n">
        <v>-0.0008348952668963</v>
      </c>
      <c r="U22" s="2" t="n">
        <v>1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account</t>
        </is>
      </c>
      <c r="C1" s="4" t="inlineStr">
        <is>
          <t>strategy</t>
        </is>
      </c>
      <c r="D1" s="4" t="inlineStr">
        <is>
          <t>ticker</t>
        </is>
      </c>
      <c r="E1" s="4" t="inlineStr">
        <is>
          <t>sim_pnl</t>
        </is>
      </c>
      <c r="F1" s="4" t="inlineStr">
        <is>
          <t>alp_shares_in</t>
        </is>
      </c>
      <c r="G1" s="4" t="inlineStr">
        <is>
          <t>alp_shares_out</t>
        </is>
      </c>
      <c r="H1" s="4" t="inlineStr">
        <is>
          <t>alp_avg_entry</t>
        </is>
      </c>
      <c r="I1" s="4" t="inlineStr">
        <is>
          <t>alp_pnl</t>
        </is>
      </c>
      <c r="J1" s="4" t="inlineStr">
        <is>
          <t>status</t>
        </is>
      </c>
    </row>
    <row r="2">
      <c r="A2" s="2" t="inlineStr">
        <is>
          <t>2026-10-12</t>
        </is>
      </c>
      <c r="B2" s="2" t="n">
        <v>200</v>
      </c>
      <c r="C2" s="2" t="inlineStr">
        <is>
          <t>vwap_pullback</t>
        </is>
      </c>
      <c r="D2" s="2" t="inlineStr">
        <is>
          <t>BORR</t>
        </is>
      </c>
      <c r="E2" s="2" t="n">
        <v>-2.88</v>
      </c>
      <c r="F2" s="2" t="n">
        <v>28</v>
      </c>
      <c r="G2" s="2" t="n">
        <v>28</v>
      </c>
      <c r="H2" s="2" t="n">
        <v>5.13</v>
      </c>
      <c r="I2" s="2" t="n">
        <v>-1.12</v>
      </c>
      <c r="J2" s="2" t="inlineStr">
        <is>
          <t>closed</t>
        </is>
      </c>
    </row>
    <row r="3">
      <c r="A3" s="2" t="inlineStr">
        <is>
          <t>2026-10-12</t>
        </is>
      </c>
      <c r="B3" s="2" t="n">
        <v>250</v>
      </c>
      <c r="C3" s="2" t="inlineStr">
        <is>
          <t>failed_breakdown</t>
        </is>
      </c>
      <c r="D3" s="2" t="inlineStr">
        <is>
          <t>CCC</t>
        </is>
      </c>
      <c r="E3" s="2" t="n">
        <v>3</v>
      </c>
      <c r="F3" s="2" t="n">
        <v>29</v>
      </c>
      <c r="G3" s="2" t="n">
        <v>29</v>
      </c>
      <c r="H3" s="2" t="n">
        <v>7.56</v>
      </c>
      <c r="I3" s="2" t="n">
        <v>-1.16</v>
      </c>
      <c r="J3" s="2" t="inlineStr">
        <is>
          <t>closed</t>
        </is>
      </c>
    </row>
    <row r="4">
      <c r="A4" s="2" t="inlineStr">
        <is>
          <t>2026-10-12</t>
        </is>
      </c>
      <c r="B4" s="2" t="n">
        <v>400</v>
      </c>
      <c r="C4" s="2" t="inlineStr">
        <is>
          <t>vwap_pullback</t>
        </is>
      </c>
      <c r="D4" s="2" t="inlineStr">
        <is>
          <t>BORR</t>
        </is>
      </c>
      <c r="E4" s="2" t="n">
        <v>-5.88</v>
      </c>
      <c r="F4" s="2" t="n">
        <v>57</v>
      </c>
      <c r="G4" s="2" t="n">
        <v>57</v>
      </c>
      <c r="H4" s="2" t="n">
        <v>5.13</v>
      </c>
      <c r="I4" s="2" t="n">
        <v>-2.28</v>
      </c>
      <c r="J4" s="2" t="inlineStr">
        <is>
          <t>closed</t>
        </is>
      </c>
    </row>
    <row r="5">
      <c r="A5" s="2" t="inlineStr">
        <is>
          <t>2026-10-12</t>
        </is>
      </c>
      <c r="B5" s="2" t="n">
        <v>550</v>
      </c>
      <c r="C5" s="2" t="inlineStr">
        <is>
          <t>failed_breakdown</t>
        </is>
      </c>
      <c r="D5" s="2" t="inlineStr">
        <is>
          <t>CCC</t>
        </is>
      </c>
      <c r="E5" s="2" t="n">
        <v>6.48</v>
      </c>
      <c r="F5" s="2" t="n">
        <v>64</v>
      </c>
      <c r="G5" s="2" t="n">
        <v>64</v>
      </c>
      <c r="H5" s="2" t="n">
        <v>7.56</v>
      </c>
      <c r="I5" s="2" t="n">
        <v>-2.56</v>
      </c>
      <c r="J5" s="2" t="inlineStr">
        <is>
          <t>closed</t>
        </is>
      </c>
    </row>
    <row r="6">
      <c r="A6" s="2" t="inlineStr">
        <is>
          <t>2026-10-12</t>
        </is>
      </c>
      <c r="B6" s="2" t="n">
        <v>350</v>
      </c>
      <c r="C6" s="2" t="inlineStr">
        <is>
          <t>bull_flag</t>
        </is>
      </c>
      <c r="D6" s="2" t="inlineStr">
        <is>
          <t>ALHC</t>
        </is>
      </c>
      <c r="E6" s="2" t="n">
        <v>-4.64</v>
      </c>
      <c r="F6" s="2" t="n">
        <v>27</v>
      </c>
      <c r="G6" s="2" t="n">
        <v>27</v>
      </c>
      <c r="H6" s="2" t="n">
        <v>8.09</v>
      </c>
      <c r="I6" s="2" t="n">
        <v>-3.24</v>
      </c>
      <c r="J6" s="2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2026-10-13T00:39:09Z</dcterms:created>
  <dcterms:modified xmlns:dcterms="http://purl.org/dc/terms/" xmlns:xsi="http://www.w3.org/2001/XMLSchema-instance" xsi:type="dcterms:W3CDTF">2026-10-13T00:39:09Z</dcterms:modified>
</cp:coreProperties>
</file>